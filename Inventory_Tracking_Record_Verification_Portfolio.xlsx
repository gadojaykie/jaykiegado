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Overview" sheetId="1" state="visible" r:id="rId1"/>
    <sheet xmlns:r="http://schemas.openxmlformats.org/officeDocument/2006/relationships" name="Raw Inventory Records" sheetId="2" state="visible" r:id="rId2"/>
    <sheet xmlns:r="http://schemas.openxmlformats.org/officeDocument/2006/relationships" name="Verified Inventory" sheetId="3" state="visible" r:id="rId3"/>
    <sheet xmlns:r="http://schemas.openxmlformats.org/officeDocument/2006/relationships" name="Inventory Audit Log" sheetId="4" state="visible" r:id="rId4"/>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name val="Calibri"/>
      <b val="1"/>
      <color rgb="001F4E78"/>
      <sz val="16"/>
    </font>
    <font>
      <name val="Calibri"/>
      <b val="1"/>
      <color rgb="001F4E78"/>
      <sz val="12"/>
    </font>
    <font>
      <name val="Calibri"/>
      <color rgb="00000000"/>
      <sz val="11"/>
    </font>
    <font>
      <name val="Calibri"/>
      <b val="1"/>
      <color rgb="00FFFFFF"/>
      <sz val="11"/>
    </font>
    <font>
      <name val="Calibri"/>
      <b val="1"/>
      <color rgb="00000000"/>
      <sz val="11"/>
    </font>
    <font>
      <name val="Calibri"/>
      <i val="1"/>
      <color rgb="00595959"/>
      <sz val="10"/>
    </font>
  </fonts>
  <fills count="6">
    <fill>
      <patternFill/>
    </fill>
    <fill>
      <patternFill patternType="gray125"/>
    </fill>
    <fill>
      <patternFill patternType="solid">
        <fgColor rgb="001F4E78"/>
        <bgColor rgb="001F4E78"/>
      </patternFill>
    </fill>
    <fill>
      <patternFill patternType="solid">
        <fgColor rgb="00F2F4F8"/>
        <bgColor rgb="00F2F4F8"/>
      </patternFill>
    </fill>
    <fill>
      <patternFill patternType="solid">
        <fgColor rgb="00FFFFFF"/>
        <bgColor rgb="00FFFFFF"/>
      </patternFill>
    </fill>
    <fill>
      <patternFill patternType="solid">
        <fgColor rgb="00FFF2CC"/>
        <bgColor rgb="00FFF2CC"/>
      </patternFill>
    </fill>
  </fills>
  <borders count="3">
    <border>
      <left/>
      <right/>
      <top/>
      <bottom/>
      <diagonal/>
    </border>
    <border>
      <left style="thin">
        <color rgb="00D9D9D9"/>
      </left>
      <right style="thin">
        <color rgb="00D9D9D9"/>
      </right>
      <top style="thin">
        <color rgb="00D9D9D9"/>
      </top>
      <bottom style="thin">
        <color rgb="00D9D9D9"/>
      </bottom>
    </border>
    <border>
      <top style="thin">
        <color rgb="001F4E78"/>
      </top>
      <bottom style="double">
        <color rgb="001F4E78"/>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3" fillId="3" borderId="1" pivotButton="0" quotePrefix="0" xfId="0"/>
    <xf numFmtId="0" fontId="5" fillId="3" borderId="1" applyAlignment="1" pivotButton="0" quotePrefix="0" xfId="0">
      <alignment horizontal="center"/>
    </xf>
    <xf numFmtId="0" fontId="6" fillId="3" borderId="1" pivotButton="0" quotePrefix="0" xfId="0"/>
    <xf numFmtId="0" fontId="3" fillId="0" borderId="1" pivotButton="0" quotePrefix="0" xfId="0"/>
    <xf numFmtId="0" fontId="5" fillId="0" borderId="1" applyAlignment="1" pivotButton="0" quotePrefix="0" xfId="0">
      <alignment horizontal="center"/>
    </xf>
    <xf numFmtId="0" fontId="6" fillId="0" borderId="1" pivotButton="0" quotePrefix="0" xfId="0"/>
    <xf numFmtId="164" fontId="5" fillId="3" borderId="1" applyAlignment="1" pivotButton="0" quotePrefix="0" xfId="0">
      <alignment horizontal="right"/>
    </xf>
    <xf numFmtId="0" fontId="6" fillId="0" borderId="0" pivotButton="0" quotePrefix="0" xfId="0"/>
    <xf numFmtId="0" fontId="3" fillId="4" borderId="1" applyAlignment="1" pivotButton="0" quotePrefix="0" xfId="0">
      <alignment horizontal="center"/>
    </xf>
    <xf numFmtId="0" fontId="3" fillId="4" borderId="1" applyAlignment="1" pivotButton="0" quotePrefix="0" xfId="0">
      <alignment horizontal="left"/>
    </xf>
    <xf numFmtId="3" fontId="3" fillId="4" borderId="1" applyAlignment="1" pivotButton="0" quotePrefix="0" xfId="0">
      <alignment horizontal="center"/>
    </xf>
    <xf numFmtId="164" fontId="3" fillId="4" borderId="1" applyAlignment="1" pivotButton="0" quotePrefix="0" xfId="0">
      <alignment horizontal="right"/>
    </xf>
    <xf numFmtId="0" fontId="3" fillId="3" borderId="1" applyAlignment="1" pivotButton="0" quotePrefix="0" xfId="0">
      <alignment horizontal="center"/>
    </xf>
    <xf numFmtId="0" fontId="3" fillId="3" borderId="1" applyAlignment="1" pivotButton="0" quotePrefix="0" xfId="0">
      <alignment horizontal="left"/>
    </xf>
    <xf numFmtId="3" fontId="3" fillId="3" borderId="1" applyAlignment="1" pivotButton="0" quotePrefix="0" xfId="0">
      <alignment horizontal="center"/>
    </xf>
    <xf numFmtId="164" fontId="3" fillId="3" borderId="1" applyAlignment="1" pivotButton="0" quotePrefix="0" xfId="0">
      <alignment horizontal="right"/>
    </xf>
    <xf numFmtId="0" fontId="3" fillId="5" borderId="1" applyAlignment="1" pivotButton="0" quotePrefix="0" xfId="0">
      <alignment horizontal="center"/>
    </xf>
    <xf numFmtId="0" fontId="3" fillId="5" borderId="1" applyAlignment="1" pivotButton="0" quotePrefix="0" xfId="0">
      <alignment horizontal="left"/>
    </xf>
    <xf numFmtId="0" fontId="5" fillId="0" borderId="2" pivotButton="0" quotePrefix="0" xfId="0"/>
    <xf numFmtId="0" fontId="0" fillId="0" borderId="2" pivotButton="0" quotePrefix="0" xfId="0"/>
    <xf numFmtId="3" fontId="5" fillId="0" borderId="2" applyAlignment="1" pivotButton="0" quotePrefix="0" xfId="0">
      <alignment horizontal="center"/>
    </xf>
    <xf numFmtId="164" fontId="5" fillId="0" borderId="2"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RawInventoryTable" displayName="RawInventoryTable" ref="A1:K41" headerRowCount="1">
  <autoFilter ref="A1:K41"/>
  <tableColumns count="11">
    <tableColumn id="1" name="Record ID"/>
    <tableColumn id="2" name="Product ID"/>
    <tableColumn id="3" name="Product Name"/>
    <tableColumn id="4" name="Category"/>
    <tableColumn id="5" name="Supplier"/>
    <tableColumn id="6" name="Date Recorded"/>
    <tableColumn id="7" name="Quantity in System"/>
    <tableColumn id="8" name="Physical Count"/>
    <tableColumn id="9" name="Unit Cost (PHP)"/>
    <tableColumn id="10" name="Reorder Level"/>
    <tableColumn id="11" name="Remarks"/>
  </tableColumns>
  <tableStyleInfo name="TableStyleMedium9" showFirstColumn="0" showLastColumn="0" showRowStripes="1" showColumnStripes="0"/>
</table>
</file>

<file path=xl/tables/table2.xml><?xml version="1.0" encoding="utf-8"?>
<table xmlns="http://schemas.openxmlformats.org/spreadsheetml/2006/main" id="2" name="VerifiedInventoryTable" displayName="VerifiedInventoryTable" ref="A1:N38" headerRowCount="1">
  <autoFilter ref="A1:N38"/>
  <tableColumns count="14">
    <tableColumn id="1" name="Record ID"/>
    <tableColumn id="2" name="Product ID"/>
    <tableColumn id="3" name="Product Name"/>
    <tableColumn id="4" name="Category"/>
    <tableColumn id="5" name="Supplier"/>
    <tableColumn id="6" name="Date Recorded"/>
    <tableColumn id="7" name="System Quantity"/>
    <tableColumn id="8" name="Physical Count"/>
    <tableColumn id="9" name="Variance"/>
    <tableColumn id="10" name="Unit Cost (PHP)"/>
    <tableColumn id="11" name="Discrepancy Value (PHP)"/>
    <tableColumn id="12" name="Reorder Level"/>
    <tableColumn id="13" name="Stock Status"/>
    <tableColumn id="14" name="Remarks / Cleaning Notes"/>
  </tableColumns>
  <tableStyleInfo name="TableStyleMedium9" showFirstColumn="0" showLastColumn="0" showRowStripes="1" showColumnStripes="0"/>
</table>
</file>

<file path=xl/tables/table3.xml><?xml version="1.0" encoding="utf-8"?>
<table xmlns="http://schemas.openxmlformats.org/spreadsheetml/2006/main" id="3" name="AuditLogTable" displayName="AuditLogTable" ref="A1:G12" headerRowCount="1">
  <autoFilter ref="A1:G12"/>
  <tableColumns count="7">
    <tableColumn id="1" name="Record ID"/>
    <tableColumn id="2" name="Product ID"/>
    <tableColumn id="3" name="Issue Type"/>
    <tableColumn id="4" name="Original Value or Issue"/>
    <tableColumn id="5" name="Verification Action"/>
    <tableColumn id="6" name="Result or Resolution"/>
    <tableColumn id="7" name="Follow-up Require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C32"/>
  <sheetViews>
    <sheetView showGridLines="1" workbookViewId="0">
      <selection activeCell="A1" sqref="A1"/>
    </sheetView>
  </sheetViews>
  <sheetFormatPr baseColWidth="8" defaultRowHeight="15"/>
  <cols>
    <col width="75" customWidth="1" min="1" max="1"/>
    <col width="18" customWidth="1" min="2" max="2"/>
    <col width="45" customWidth="1" min="3" max="3"/>
  </cols>
  <sheetData>
    <row r="1">
      <c r="A1" s="1" t="inlineStr">
        <is>
          <t>INVENTORY TRACKING &amp; RECORD VERIFICATION PORTFOLIO PROJECT</t>
        </is>
      </c>
    </row>
    <row r="3">
      <c r="A3" s="2" t="inlineStr">
        <is>
          <t>Project Purpose &amp; Objectives</t>
        </is>
      </c>
    </row>
    <row r="4">
      <c r="A4" s="3" t="inlineStr">
        <is>
          <t>This self-initiated portfolio project demonstrates practical skills in inventory data entry, record verification, spreadsheet organization, and data quality checking using Microsoft Excel. It involves reviewing raw inventory records, identifying duplicate entries and missing information, comparing recorded quantities with physical counts, and documenting discrepancies for follow-up.</t>
        </is>
      </c>
    </row>
    <row r="5">
      <c r="A5" s="3" t="inlineStr">
        <is>
          <t>The project demonstrates attention to detail, record accuracy, organized documentation, and basic inventory-control practices relevant to entry-level Data Entry Virtual Assistant roles.</t>
        </is>
      </c>
    </row>
    <row r="7">
      <c r="A7" s="2" t="inlineStr">
        <is>
          <t>Tools &amp; Techniques Demonstrated</t>
        </is>
      </c>
    </row>
    <row r="8">
      <c r="A8" s="3" t="inlineStr">
        <is>
          <t>• Data Standardization: Applying consistent product IDs, proper capitalization, trimmed spacing, and standardized date formats (YYYY-MM-DD).</t>
        </is>
      </c>
    </row>
    <row r="9">
      <c r="A9" s="3" t="inlineStr">
        <is>
          <t>• Inventory Record Reconciliation: Comparing system recorded quantities against physical stock counts to identify operational variances.</t>
        </is>
      </c>
    </row>
    <row r="10">
      <c r="A10" s="3" t="inlineStr">
        <is>
          <t>• Discrepancy &amp; Value Analysis: Utilizing mathematical formulas (Variance, Absolute Variance, and Estimated Discrepancy Value in PHP).</t>
        </is>
      </c>
    </row>
    <row r="11">
      <c r="A11" s="3" t="inlineStr">
        <is>
          <t>• Error Auditing &amp; Logging: Systematic tracking of data-entry anomalies, missing categories/suppliers, and duplicate resolutions.</t>
        </is>
      </c>
    </row>
    <row r="12">
      <c r="A12" s="3" t="inlineStr">
        <is>
          <t>• Excel Functions &amp; Features: Dynamic formulas (COUNTA, SUM, ABS, IF), data validation, conditional formatting, Excel Tables, and freeze panes.</t>
        </is>
      </c>
    </row>
    <row r="14">
      <c r="A14" s="2" t="inlineStr">
        <is>
          <t>Inventory Verification Methodology</t>
        </is>
      </c>
    </row>
    <row r="15">
      <c r="A15" s="3" t="inlineStr">
        <is>
          <t>1. Ingestion &amp; Audit: Ingested 40 raw inventory records containing intentional data-entry inconsistencies (spacing, case, missing info, duplicates).</t>
        </is>
      </c>
    </row>
    <row r="16">
      <c r="A16" s="3" t="inlineStr">
        <is>
          <t>2. Duplicate Resolution: Identified exact duplicate records (e.g., INV-1011, INV-1025) and consolidated them into single unique verified items.</t>
        </is>
      </c>
    </row>
    <row r="17">
      <c r="A17" s="3" t="inlineStr">
        <is>
          <t>3. Quantity Verification: Evaluated recorded system quantities against physical warehouse counts. Quantities were preserved as recorded to maintain audit trail integrity; variances were calculated independently.</t>
        </is>
      </c>
    </row>
    <row r="18">
      <c r="A18" s="3" t="inlineStr">
        <is>
          <t>4. Discrepancy Valuation: Calculated variance (Physical minus System) and estimated financial impact using absolute quantity variance multiplied by unit cost.</t>
        </is>
      </c>
    </row>
    <row r="19">
      <c r="A19" s="3" t="inlineStr">
        <is>
          <t>5. Status &amp; Flagging: Categorized inventory stock health (Normal, Low Stock, Discrepancy Flagged, Missing Info) to prompt follow-up investigation.</t>
        </is>
      </c>
    </row>
    <row r="21">
      <c r="A21" s="2" t="inlineStr">
        <is>
          <t>Summary of Results (Calculated via Workbook Formulas)</t>
        </is>
      </c>
    </row>
    <row r="22">
      <c r="A22" s="4" t="inlineStr">
        <is>
          <t>Metric Description</t>
        </is>
      </c>
      <c r="B22" s="4" t="inlineStr">
        <is>
          <t>Count / Value</t>
        </is>
      </c>
      <c r="C22" s="4" t="inlineStr">
        <is>
          <t>Workbook Formula / Note</t>
        </is>
      </c>
    </row>
    <row r="23">
      <c r="A23" s="5" t="inlineStr">
        <is>
          <t>Total Raw Inventory Records Reviewed</t>
        </is>
      </c>
      <c r="B23" s="6">
        <f>COUNTA('Raw Inventory Records'!A2:A41)</f>
        <v/>
      </c>
      <c r="C23" s="7" t="inlineStr">
        <is>
          <t>Total rows in raw dataset</t>
        </is>
      </c>
    </row>
    <row r="24">
      <c r="A24" s="8" t="inlineStr">
        <is>
          <t>Duplicate Records Identified and Resolved</t>
        </is>
      </c>
      <c r="B24" s="9" t="n">
        <v>3</v>
      </c>
      <c r="C24" s="10" t="inlineStr">
        <is>
          <t>INV-1011, INV-1025, INV-1038 (Merged/Removed)</t>
        </is>
      </c>
    </row>
    <row r="25">
      <c r="A25" s="5" t="inlineStr">
        <is>
          <t>Unique Inventory Items Retained</t>
        </is>
      </c>
      <c r="B25" s="6">
        <f>COUNTA('Verified Inventory'!A2:A38)</f>
        <v/>
      </c>
      <c r="C25" s="7" t="inlineStr">
        <is>
          <t>Master verified inventory count (37 unique items)</t>
        </is>
      </c>
    </row>
    <row r="26">
      <c r="A26" s="8" t="inlineStr">
        <is>
          <t>Records with Quantity Discrepancies</t>
        </is>
      </c>
      <c r="B26" s="9">
        <f>COUNTIF('Verified Inventory'!N2:N38, "*Discrepancy*")</f>
        <v/>
      </c>
      <c r="C26" s="10" t="inlineStr">
        <is>
          <t>Items with system vs physical count variance</t>
        </is>
      </c>
    </row>
    <row r="27">
      <c r="A27" s="5" t="inlineStr">
        <is>
          <t>Records with Missing Information</t>
        </is>
      </c>
      <c r="B27" s="6" t="n">
        <v>4</v>
      </c>
      <c r="C27" s="7" t="inlineStr">
        <is>
          <t>INV-1006, INV-1014, INV-1022, INV-1031 (Suppliers/Categories)</t>
        </is>
      </c>
    </row>
    <row r="28">
      <c r="A28" s="8" t="inlineStr">
        <is>
          <t>Items at or Below Reorder Level</t>
        </is>
      </c>
      <c r="B28" s="9">
        <f>COUNTIF('Verified Inventory'!M2:M38, "Low Stock*") + COUNTIF('Verified Inventory'!M2:M38, "*Low Stock*")</f>
        <v/>
      </c>
      <c r="C28" s="10" t="inlineStr">
        <is>
          <t>Items requiring replenishment</t>
        </is>
      </c>
    </row>
    <row r="29">
      <c r="A29" s="5" t="inlineStr">
        <is>
          <t>Total Estimated Value of Quantity Discrepancies</t>
        </is>
      </c>
      <c r="B29" s="11">
        <f>SUM('Verified Inventory'!L2:L38)</f>
        <v/>
      </c>
      <c r="C29" s="7" t="inlineStr">
        <is>
          <t>Sum of absolute variance value (PHP)</t>
        </is>
      </c>
    </row>
    <row r="31">
      <c r="A31" s="2" t="inlineStr">
        <is>
          <t>Portfolio Note</t>
        </is>
      </c>
    </row>
    <row r="32">
      <c r="A32" s="12" t="inlineStr">
        <is>
          <t>Portfolio Note: All product names, supplier names, quantities, and other inventory details in this workbook are fictional and created solely for portfolio demonstration purposes.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28" customWidth="1" min="3" max="3"/>
    <col width="15" customWidth="1" min="4" max="4"/>
    <col width="20" customWidth="1" min="5" max="5"/>
    <col width="17" customWidth="1" min="6" max="6"/>
    <col width="22" customWidth="1" min="7" max="7"/>
    <col width="18" customWidth="1" min="8" max="8"/>
    <col width="19" customWidth="1" min="9" max="9"/>
    <col width="17" customWidth="1" min="10" max="10"/>
    <col width="41" customWidth="1" min="11" max="11"/>
  </cols>
  <sheetData>
    <row r="1">
      <c r="A1" s="4" t="inlineStr">
        <is>
          <t>Record ID</t>
        </is>
      </c>
      <c r="B1" s="4" t="inlineStr">
        <is>
          <t>Product ID</t>
        </is>
      </c>
      <c r="C1" s="4" t="inlineStr">
        <is>
          <t>Product Name</t>
        </is>
      </c>
      <c r="D1" s="4" t="inlineStr">
        <is>
          <t>Category</t>
        </is>
      </c>
      <c r="E1" s="4" t="inlineStr">
        <is>
          <t>Supplier</t>
        </is>
      </c>
      <c r="F1" s="4" t="inlineStr">
        <is>
          <t>Date Recorded</t>
        </is>
      </c>
      <c r="G1" s="4" t="inlineStr">
        <is>
          <t>Quantity in System</t>
        </is>
      </c>
      <c r="H1" s="4" t="inlineStr">
        <is>
          <t>Physical Count</t>
        </is>
      </c>
      <c r="I1" s="4" t="inlineStr">
        <is>
          <t>Unit Cost (PHP)</t>
        </is>
      </c>
      <c r="J1" s="4" t="inlineStr">
        <is>
          <t>Reorder Level</t>
        </is>
      </c>
      <c r="K1" s="4" t="inlineStr">
        <is>
          <t>Remarks</t>
        </is>
      </c>
    </row>
    <row r="2">
      <c r="A2" s="13" t="inlineStr">
        <is>
          <t>INV-1001</t>
        </is>
      </c>
      <c r="B2" s="13" t="inlineStr">
        <is>
          <t>PROD-001</t>
        </is>
      </c>
      <c r="C2" s="14" t="inlineStr">
        <is>
          <t xml:space="preserve">  Wireless Mouse </t>
        </is>
      </c>
      <c r="D2" s="14" t="inlineStr">
        <is>
          <t>Peripherals</t>
        </is>
      </c>
      <c r="E2" s="14" t="inlineStr">
        <is>
          <t>TechGlobal Inc.</t>
        </is>
      </c>
      <c r="F2" s="13" t="inlineStr">
        <is>
          <t>2026-01-10</t>
        </is>
      </c>
      <c r="G2" s="15" t="n">
        <v>120</v>
      </c>
      <c r="H2" s="15" t="n">
        <v>118</v>
      </c>
      <c r="I2" s="16" t="n">
        <v>450</v>
      </c>
      <c r="J2" s="13" t="n">
        <v>25</v>
      </c>
      <c r="K2" s="14" t="inlineStr">
        <is>
          <t>Slight discrepancy (-2)</t>
        </is>
      </c>
    </row>
    <row r="3">
      <c r="A3" s="17" t="inlineStr">
        <is>
          <t>INV-1002</t>
        </is>
      </c>
      <c r="B3" s="17" t="inlineStr">
        <is>
          <t>PROD-002</t>
        </is>
      </c>
      <c r="C3" s="18" t="inlineStr">
        <is>
          <t>Mechanical Keyboard</t>
        </is>
      </c>
      <c r="D3" s="18" t="inlineStr">
        <is>
          <t>Peripherals</t>
        </is>
      </c>
      <c r="E3" s="18" t="inlineStr">
        <is>
          <t>TechGlobal Inc.</t>
        </is>
      </c>
      <c r="F3" s="17" t="inlineStr">
        <is>
          <t>2026-01-12</t>
        </is>
      </c>
      <c r="G3" s="19" t="n">
        <v>75</v>
      </c>
      <c r="H3" s="19" t="n">
        <v>75</v>
      </c>
      <c r="I3" s="20" t="n">
        <v>1850</v>
      </c>
      <c r="J3" s="17" t="n">
        <v>15</v>
      </c>
      <c r="K3" s="18" t="inlineStr">
        <is>
          <t>Counts match</t>
        </is>
      </c>
    </row>
    <row r="4">
      <c r="A4" s="13" t="inlineStr">
        <is>
          <t>INV-1003</t>
        </is>
      </c>
      <c r="B4" s="13" t="inlineStr">
        <is>
          <t>PROD-003</t>
        </is>
      </c>
      <c r="C4" s="14" t="inlineStr">
        <is>
          <t>27-inch IPS Monitor</t>
        </is>
      </c>
      <c r="D4" s="14" t="inlineStr">
        <is>
          <t>Displays</t>
        </is>
      </c>
      <c r="E4" s="14" t="inlineStr">
        <is>
          <t>Apex Electronics</t>
        </is>
      </c>
      <c r="F4" s="13" t="inlineStr">
        <is>
          <t>01/15/2026</t>
        </is>
      </c>
      <c r="G4" s="15" t="n">
        <v>40</v>
      </c>
      <c r="H4" s="15" t="n">
        <v>38</v>
      </c>
      <c r="I4" s="16" t="n">
        <v>8500</v>
      </c>
      <c r="J4" s="13" t="n">
        <v>10</v>
      </c>
      <c r="K4" s="14" t="inlineStr">
        <is>
          <t>Discrepancy found (-2)</t>
        </is>
      </c>
    </row>
    <row r="5">
      <c r="A5" s="17" t="inlineStr">
        <is>
          <t>INV-1004</t>
        </is>
      </c>
      <c r="B5" s="17" t="inlineStr">
        <is>
          <t>prod-004</t>
        </is>
      </c>
      <c r="C5" s="18" t="inlineStr">
        <is>
          <t xml:space="preserve">USB-C Hub   </t>
        </is>
      </c>
      <c r="D5" s="18" t="inlineStr">
        <is>
          <t>Accessories</t>
        </is>
      </c>
      <c r="E5" s="18" t="inlineStr">
        <is>
          <t>DataLink Corp.</t>
        </is>
      </c>
      <c r="F5" s="17" t="inlineStr">
        <is>
          <t>2026.01.18</t>
        </is>
      </c>
      <c r="G5" s="19" t="n">
        <v>150</v>
      </c>
      <c r="H5" s="19" t="n">
        <v>150</v>
      </c>
      <c r="I5" s="20" t="n">
        <v>650</v>
      </c>
      <c r="J5" s="17" t="n">
        <v>30</v>
      </c>
      <c r="K5" s="18" t="inlineStr">
        <is>
          <t>Lowercase product ID, trailing spaces</t>
        </is>
      </c>
    </row>
    <row r="6">
      <c r="A6" s="13" t="inlineStr">
        <is>
          <t>INV-1005</t>
        </is>
      </c>
      <c r="B6" s="13" t="inlineStr">
        <is>
          <t>PROD-005</t>
        </is>
      </c>
      <c r="C6" s="14" t="inlineStr">
        <is>
          <t>LAPTOP STAND</t>
        </is>
      </c>
      <c r="D6" s="14" t="inlineStr">
        <is>
          <t>Accessories</t>
        </is>
      </c>
      <c r="E6" s="14" t="inlineStr">
        <is>
          <t>DataLink Corp.</t>
        </is>
      </c>
      <c r="F6" s="13" t="inlineStr">
        <is>
          <t>2026-01-20</t>
        </is>
      </c>
      <c r="G6" s="15" t="n">
        <v>60</v>
      </c>
      <c r="H6" s="15" t="n">
        <v>55</v>
      </c>
      <c r="I6" s="16" t="n">
        <v>950</v>
      </c>
      <c r="J6" s="13" t="n">
        <v>20</v>
      </c>
      <c r="K6" s="14" t="inlineStr">
        <is>
          <t>All caps name, discrepancy (-5)</t>
        </is>
      </c>
    </row>
    <row r="7">
      <c r="A7" s="17" t="inlineStr">
        <is>
          <t>INV-1006</t>
        </is>
      </c>
      <c r="B7" s="17" t="inlineStr">
        <is>
          <t>PROD-006</t>
        </is>
      </c>
      <c r="C7" s="18" t="inlineStr">
        <is>
          <t>External SSD 1TB</t>
        </is>
      </c>
      <c r="D7" s="18" t="inlineStr">
        <is>
          <t>Storage</t>
        </is>
      </c>
      <c r="E7" s="18" t="inlineStr"/>
      <c r="F7" s="17" t="inlineStr">
        <is>
          <t>2026-01-22</t>
        </is>
      </c>
      <c r="G7" s="19" t="n">
        <v>30</v>
      </c>
      <c r="H7" s="19" t="n">
        <v>30</v>
      </c>
      <c r="I7" s="20" t="n">
        <v>4200</v>
      </c>
      <c r="J7" s="17" t="n">
        <v>10</v>
      </c>
      <c r="K7" s="18" t="inlineStr">
        <is>
          <t>Missing supplier</t>
        </is>
      </c>
    </row>
    <row r="8">
      <c r="A8" s="13" t="inlineStr">
        <is>
          <t>INV-1007</t>
        </is>
      </c>
      <c r="B8" s="13" t="inlineStr">
        <is>
          <t>PROD-007</t>
        </is>
      </c>
      <c r="C8" s="14" t="inlineStr">
        <is>
          <t>HD Webcam 1080p</t>
        </is>
      </c>
      <c r="D8" s="14" t="inlineStr">
        <is>
          <t>Peripherals</t>
        </is>
      </c>
      <c r="E8" s="14" t="inlineStr">
        <is>
          <t>VisionTech</t>
        </is>
      </c>
      <c r="F8" s="13" t="inlineStr">
        <is>
          <t>01/25/2026</t>
        </is>
      </c>
      <c r="G8" s="15" t="n">
        <v>85</v>
      </c>
      <c r="H8" s="15" t="n">
        <v>80</v>
      </c>
      <c r="I8" s="16" t="n">
        <v>1200</v>
      </c>
      <c r="J8" s="13" t="n">
        <v>20</v>
      </c>
      <c r="K8" s="14" t="inlineStr">
        <is>
          <t>Discrepancy (-5)</t>
        </is>
      </c>
    </row>
    <row r="9">
      <c r="A9" s="17" t="inlineStr">
        <is>
          <t>INV-1008</t>
        </is>
      </c>
      <c r="B9" s="17" t="inlineStr">
        <is>
          <t>PROD-008</t>
        </is>
      </c>
      <c r="C9" s="18" t="inlineStr">
        <is>
          <t>Bluetooth Speaker</t>
        </is>
      </c>
      <c r="D9" s="18" t="inlineStr">
        <is>
          <t>Audio</t>
        </is>
      </c>
      <c r="E9" s="18" t="inlineStr">
        <is>
          <t>SoundWave Ph</t>
        </is>
      </c>
      <c r="F9" s="17" t="inlineStr">
        <is>
          <t>2026.01.28</t>
        </is>
      </c>
      <c r="G9" s="19" t="n">
        <v>50</v>
      </c>
      <c r="H9" s="19" t="n">
        <v>50</v>
      </c>
      <c r="I9" s="20" t="n">
        <v>1500</v>
      </c>
      <c r="J9" s="17" t="n">
        <v>15</v>
      </c>
      <c r="K9" s="18" t="inlineStr">
        <is>
          <t>Counts match</t>
        </is>
      </c>
    </row>
    <row r="10">
      <c r="A10" s="13" t="inlineStr">
        <is>
          <t>INV-1009</t>
        </is>
      </c>
      <c r="B10" s="13" t="inlineStr">
        <is>
          <t>PROD-009</t>
        </is>
      </c>
      <c r="C10" s="14" t="inlineStr">
        <is>
          <t>Ergonomic Office Chair</t>
        </is>
      </c>
      <c r="D10" s="14" t="inlineStr">
        <is>
          <t>Furniture</t>
        </is>
      </c>
      <c r="E10" s="14" t="inlineStr">
        <is>
          <t>ComfortSeating</t>
        </is>
      </c>
      <c r="F10" s="13" t="inlineStr">
        <is>
          <t>2026-02-01</t>
        </is>
      </c>
      <c r="G10" s="15" t="n">
        <v>20</v>
      </c>
      <c r="H10" s="15" t="n">
        <v>18</v>
      </c>
      <c r="I10" s="16" t="n">
        <v>5400</v>
      </c>
      <c r="J10" s="13" t="n">
        <v>5</v>
      </c>
      <c r="K10" s="14" t="inlineStr">
        <is>
          <t>Discrepancy (-2)</t>
        </is>
      </c>
    </row>
    <row r="11">
      <c r="A11" s="17" t="inlineStr">
        <is>
          <t>INV-1010</t>
        </is>
      </c>
      <c r="B11" s="17" t="inlineStr">
        <is>
          <t>PROD-010</t>
        </is>
      </c>
      <c r="C11" s="18" t="inlineStr">
        <is>
          <t>Standing Desk Frame</t>
        </is>
      </c>
      <c r="D11" s="18" t="inlineStr">
        <is>
          <t>Furniture</t>
        </is>
      </c>
      <c r="E11" s="18" t="inlineStr">
        <is>
          <t>ComfortSeating</t>
        </is>
      </c>
      <c r="F11" s="17" t="inlineStr">
        <is>
          <t>2026-02-03</t>
        </is>
      </c>
      <c r="G11" s="19" t="n">
        <v>15</v>
      </c>
      <c r="H11" s="19" t="n">
        <v>15</v>
      </c>
      <c r="I11" s="20" t="n">
        <v>12500</v>
      </c>
      <c r="J11" s="17" t="n">
        <v>4</v>
      </c>
      <c r="K11" s="18" t="inlineStr">
        <is>
          <t>Counts match</t>
        </is>
      </c>
    </row>
    <row r="12">
      <c r="A12" s="13" t="inlineStr">
        <is>
          <t>INV-1011</t>
        </is>
      </c>
      <c r="B12" s="13" t="inlineStr">
        <is>
          <t>PROD-001</t>
        </is>
      </c>
      <c r="C12" s="14" t="inlineStr">
        <is>
          <t xml:space="preserve">  Wireless Mouse </t>
        </is>
      </c>
      <c r="D12" s="14" t="inlineStr">
        <is>
          <t>Peripherals</t>
        </is>
      </c>
      <c r="E12" s="14" t="inlineStr">
        <is>
          <t>TechGlobal Inc.</t>
        </is>
      </c>
      <c r="F12" s="13" t="inlineStr">
        <is>
          <t>2026-01-10</t>
        </is>
      </c>
      <c r="G12" s="15" t="n">
        <v>120</v>
      </c>
      <c r="H12" s="15" t="n">
        <v>118</v>
      </c>
      <c r="I12" s="16" t="n">
        <v>450</v>
      </c>
      <c r="J12" s="13" t="n">
        <v>25</v>
      </c>
      <c r="K12" s="14" t="inlineStr">
        <is>
          <t>Exact Duplicate of INV-1001</t>
        </is>
      </c>
    </row>
    <row r="13">
      <c r="A13" s="17" t="inlineStr">
        <is>
          <t>INV-1012</t>
        </is>
      </c>
      <c r="B13" s="17" t="inlineStr">
        <is>
          <t>PROD-011</t>
        </is>
      </c>
      <c r="C13" s="18" t="inlineStr">
        <is>
          <t>HDMI Cable 2m</t>
        </is>
      </c>
      <c r="D13" s="18" t="inlineStr">
        <is>
          <t>Accessories</t>
        </is>
      </c>
      <c r="E13" s="18" t="inlineStr">
        <is>
          <t>DataLink Corp.</t>
        </is>
      </c>
      <c r="F13" s="17" t="inlineStr">
        <is>
          <t>02/05/2026</t>
        </is>
      </c>
      <c r="G13" s="19" t="n">
        <v>200</v>
      </c>
      <c r="H13" s="19" t="n">
        <v>195</v>
      </c>
      <c r="I13" s="20" t="n">
        <v>250</v>
      </c>
      <c r="J13" s="17" t="n">
        <v>40</v>
      </c>
      <c r="K13" s="18" t="inlineStr">
        <is>
          <t>Discrepancy (-5)</t>
        </is>
      </c>
    </row>
    <row r="14">
      <c r="A14" s="13" t="inlineStr">
        <is>
          <t>INV-1013</t>
        </is>
      </c>
      <c r="B14" s="13" t="inlineStr">
        <is>
          <t>PROD-012</t>
        </is>
      </c>
      <c r="C14" s="14" t="inlineStr">
        <is>
          <t>Wi-Fi 6 Router</t>
        </is>
      </c>
      <c r="D14" s="14" t="inlineStr">
        <is>
          <t>Networking</t>
        </is>
      </c>
      <c r="E14" s="14" t="inlineStr">
        <is>
          <t>NetGear Asia</t>
        </is>
      </c>
      <c r="F14" s="13" t="inlineStr">
        <is>
          <t>2026-02-08</t>
        </is>
      </c>
      <c r="G14" s="15" t="n">
        <v>45</v>
      </c>
      <c r="H14" s="15" t="n">
        <v>45</v>
      </c>
      <c r="I14" s="16" t="n">
        <v>3100</v>
      </c>
      <c r="J14" s="13" t="n">
        <v>10</v>
      </c>
      <c r="K14" s="14" t="inlineStr">
        <is>
          <t>Counts match</t>
        </is>
      </c>
    </row>
    <row r="15">
      <c r="A15" s="17" t="inlineStr">
        <is>
          <t>INV-1014</t>
        </is>
      </c>
      <c r="B15" s="17" t="inlineStr">
        <is>
          <t>PROD-013</t>
        </is>
      </c>
      <c r="C15" s="18" t="inlineStr">
        <is>
          <t>Gaming Headset</t>
        </is>
      </c>
      <c r="D15" s="18" t="inlineStr">
        <is>
          <t>Audio</t>
        </is>
      </c>
      <c r="E15" s="18" t="inlineStr"/>
      <c r="F15" s="17" t="inlineStr">
        <is>
          <t>2026.02-10</t>
        </is>
      </c>
      <c r="G15" s="19" t="n">
        <v>65</v>
      </c>
      <c r="H15" s="19" t="n">
        <v>60</v>
      </c>
      <c r="I15" s="20" t="n">
        <v>2100</v>
      </c>
      <c r="J15" s="17" t="n">
        <v>15</v>
      </c>
      <c r="K15" s="18" t="inlineStr">
        <is>
          <t>Missing supplier, date format issue</t>
        </is>
      </c>
    </row>
    <row r="16">
      <c r="A16" s="13" t="inlineStr">
        <is>
          <t>INV-1015</t>
        </is>
      </c>
      <c r="B16" s="13" t="inlineStr">
        <is>
          <t>PROD-014</t>
        </is>
      </c>
      <c r="C16" s="14" t="inlineStr">
        <is>
          <t>Portable Power Bank</t>
        </is>
      </c>
      <c r="D16" s="14" t="inlineStr">
        <is>
          <t>Power</t>
        </is>
      </c>
      <c r="E16" s="14" t="inlineStr">
        <is>
          <t>VoltCorp</t>
        </is>
      </c>
      <c r="F16" s="13" t="inlineStr">
        <is>
          <t>2026-02-12</t>
        </is>
      </c>
      <c r="G16" s="15" t="n">
        <v>90</v>
      </c>
      <c r="H16" s="15" t="n">
        <v>88</v>
      </c>
      <c r="I16" s="16" t="n">
        <v>1750</v>
      </c>
      <c r="J16" s="13" t="n">
        <v>20</v>
      </c>
      <c r="K16" s="14" t="inlineStr">
        <is>
          <t>Discrepancy (-2)</t>
        </is>
      </c>
    </row>
    <row r="17">
      <c r="A17" s="17" t="inlineStr">
        <is>
          <t>INV-1016</t>
        </is>
      </c>
      <c r="B17" s="17" t="inlineStr">
        <is>
          <t>PROD-015</t>
        </is>
      </c>
      <c r="C17" s="18" t="inlineStr">
        <is>
          <t>RGB Mousepad</t>
        </is>
      </c>
      <c r="D17" s="18" t="inlineStr">
        <is>
          <t>Peripherals</t>
        </is>
      </c>
      <c r="E17" s="18" t="inlineStr">
        <is>
          <t>TechGlobal Inc.</t>
        </is>
      </c>
      <c r="F17" s="17" t="inlineStr">
        <is>
          <t>02/15/2026</t>
        </is>
      </c>
      <c r="G17" s="19" t="n">
        <v>110</v>
      </c>
      <c r="H17" s="19" t="n">
        <v>110</v>
      </c>
      <c r="I17" s="20" t="n">
        <v>550</v>
      </c>
      <c r="J17" s="17" t="n">
        <v>25</v>
      </c>
      <c r="K17" s="18" t="inlineStr">
        <is>
          <t>Counts match</t>
        </is>
      </c>
    </row>
    <row r="18">
      <c r="A18" s="13" t="inlineStr">
        <is>
          <t>INV-1017</t>
        </is>
      </c>
      <c r="B18" s="13" t="inlineStr">
        <is>
          <t>PROD-016</t>
        </is>
      </c>
      <c r="C18" s="14" t="inlineStr">
        <is>
          <t>NVMe M.2 2TB</t>
        </is>
      </c>
      <c r="D18" s="14" t="inlineStr">
        <is>
          <t>Storage</t>
        </is>
      </c>
      <c r="E18" s="14" t="inlineStr">
        <is>
          <t>Apex Electronics</t>
        </is>
      </c>
      <c r="F18" s="13" t="inlineStr">
        <is>
          <t>2026-02-18</t>
        </is>
      </c>
      <c r="G18" s="15" t="n">
        <v>25</v>
      </c>
      <c r="H18" s="15" t="n">
        <v>22</v>
      </c>
      <c r="I18" s="16" t="n">
        <v>7800</v>
      </c>
      <c r="J18" s="13" t="n">
        <v>8</v>
      </c>
      <c r="K18" s="14" t="inlineStr">
        <is>
          <t>Discrepancy (-3)</t>
        </is>
      </c>
    </row>
    <row r="19">
      <c r="A19" s="17" t="inlineStr">
        <is>
          <t>INV-1018</t>
        </is>
      </c>
      <c r="B19" s="17" t="inlineStr">
        <is>
          <t>PROD-017</t>
        </is>
      </c>
      <c r="C19" s="18" t="inlineStr">
        <is>
          <t>Ethernet Switch 8-Port</t>
        </is>
      </c>
      <c r="D19" s="18" t="inlineStr">
        <is>
          <t>Networking</t>
        </is>
      </c>
      <c r="E19" s="18" t="inlineStr">
        <is>
          <t>NetGear Asia</t>
        </is>
      </c>
      <c r="F19" s="17" t="inlineStr">
        <is>
          <t>2026-02-20</t>
        </is>
      </c>
      <c r="G19" s="19" t="n">
        <v>35</v>
      </c>
      <c r="H19" s="19" t="n">
        <v>35</v>
      </c>
      <c r="I19" s="20" t="n">
        <v>1400</v>
      </c>
      <c r="J19" s="17" t="n">
        <v>10</v>
      </c>
      <c r="K19" s="18" t="inlineStr">
        <is>
          <t>Counts match</t>
        </is>
      </c>
    </row>
    <row r="20">
      <c r="A20" s="13" t="inlineStr">
        <is>
          <t>INV-1019</t>
        </is>
      </c>
      <c r="B20" s="13" t="inlineStr">
        <is>
          <t>PROD-018</t>
        </is>
      </c>
      <c r="C20" s="14" t="inlineStr">
        <is>
          <t>USB-C Multi Adapter</t>
        </is>
      </c>
      <c r="D20" s="14" t="inlineStr">
        <is>
          <t>Accessories</t>
        </is>
      </c>
      <c r="E20" s="14" t="inlineStr">
        <is>
          <t>DataLink Corp.</t>
        </is>
      </c>
      <c r="F20" s="13" t="inlineStr">
        <is>
          <t>02/22/2026</t>
        </is>
      </c>
      <c r="G20" s="15" t="n">
        <v>80</v>
      </c>
      <c r="H20" s="15" t="n">
        <v>76</v>
      </c>
      <c r="I20" s="16" t="n">
        <v>1100</v>
      </c>
      <c r="J20" s="13" t="n">
        <v>20</v>
      </c>
      <c r="K20" s="14" t="inlineStr">
        <is>
          <t>Discrepancy (-4)</t>
        </is>
      </c>
    </row>
    <row r="21">
      <c r="A21" s="17" t="inlineStr">
        <is>
          <t>INV-1020</t>
        </is>
      </c>
      <c r="B21" s="17" t="inlineStr">
        <is>
          <t>PROD-019</t>
        </is>
      </c>
      <c r="C21" s="18" t="inlineStr">
        <is>
          <t>LED Desk Lamp</t>
        </is>
      </c>
      <c r="D21" s="18" t="inlineStr">
        <is>
          <t>Lighting</t>
        </is>
      </c>
      <c r="E21" s="18" t="inlineStr">
        <is>
          <t>BrightHome</t>
        </is>
      </c>
      <c r="F21" s="17" t="inlineStr">
        <is>
          <t>2026-02-25</t>
        </is>
      </c>
      <c r="G21" s="19" t="n">
        <v>55</v>
      </c>
      <c r="H21" s="19" t="n">
        <v>55</v>
      </c>
      <c r="I21" s="20" t="n">
        <v>890</v>
      </c>
      <c r="J21" s="17" t="n">
        <v>12</v>
      </c>
      <c r="K21" s="18" t="inlineStr">
        <is>
          <t>Counts match</t>
        </is>
      </c>
    </row>
    <row r="22">
      <c r="A22" s="13" t="inlineStr">
        <is>
          <t>INV-1021</t>
        </is>
      </c>
      <c r="B22" s="13" t="inlineStr">
        <is>
          <t>PROD-020</t>
        </is>
      </c>
      <c r="C22" s="14" t="inlineStr">
        <is>
          <t>Tablet Stand</t>
        </is>
      </c>
      <c r="D22" s="14" t="inlineStr">
        <is>
          <t>Accessories</t>
        </is>
      </c>
      <c r="E22" s="14" t="inlineStr">
        <is>
          <t>DataLink Corp.</t>
        </is>
      </c>
      <c r="F22" s="13" t="inlineStr">
        <is>
          <t>2026-02-28</t>
        </is>
      </c>
      <c r="G22" s="15" t="n">
        <v>70</v>
      </c>
      <c r="H22" s="15" t="n">
        <v>70</v>
      </c>
      <c r="I22" s="16" t="n">
        <v>480</v>
      </c>
      <c r="J22" s="13" t="n">
        <v>15</v>
      </c>
      <c r="K22" s="14" t="inlineStr">
        <is>
          <t>Counts match</t>
        </is>
      </c>
    </row>
    <row r="23">
      <c r="A23" s="17" t="inlineStr">
        <is>
          <t>INV-1022</t>
        </is>
      </c>
      <c r="B23" s="17" t="inlineStr">
        <is>
          <t>PROD-021</t>
        </is>
      </c>
      <c r="C23" s="18" t="inlineStr">
        <is>
          <t>Microphone Boom Arm</t>
        </is>
      </c>
      <c r="D23" s="18" t="inlineStr">
        <is>
          <t>Audio</t>
        </is>
      </c>
      <c r="E23" s="18" t="inlineStr"/>
      <c r="F23" s="17" t="inlineStr">
        <is>
          <t>03/02/2026</t>
        </is>
      </c>
      <c r="G23" s="19" t="n">
        <v>30</v>
      </c>
      <c r="H23" s="19" t="n">
        <v>28</v>
      </c>
      <c r="I23" s="20" t="n">
        <v>1350</v>
      </c>
      <c r="J23" s="17" t="n">
        <v>8</v>
      </c>
      <c r="K23" s="18" t="inlineStr">
        <is>
          <t>Missing supplier</t>
        </is>
      </c>
    </row>
    <row r="24">
      <c r="A24" s="13" t="inlineStr">
        <is>
          <t>INV-1023</t>
        </is>
      </c>
      <c r="B24" s="13" t="inlineStr">
        <is>
          <t>PROD-022</t>
        </is>
      </c>
      <c r="C24" s="14" t="inlineStr">
        <is>
          <t>Smart Plug Wi-Fi</t>
        </is>
      </c>
      <c r="D24" s="14" t="inlineStr">
        <is>
          <t>Smart Home</t>
        </is>
      </c>
      <c r="E24" s="14" t="inlineStr">
        <is>
          <t>HomeIoT</t>
        </is>
      </c>
      <c r="F24" s="13" t="inlineStr">
        <is>
          <t>2026-03-05</t>
        </is>
      </c>
      <c r="G24" s="15" t="n">
        <v>95</v>
      </c>
      <c r="H24" s="15" t="n">
        <v>95</v>
      </c>
      <c r="I24" s="16" t="n">
        <v>620</v>
      </c>
      <c r="J24" s="13" t="n">
        <v>20</v>
      </c>
      <c r="K24" s="14" t="inlineStr">
        <is>
          <t>Counts match</t>
        </is>
      </c>
    </row>
    <row r="25">
      <c r="A25" s="17" t="inlineStr">
        <is>
          <t>INV-1024</t>
        </is>
      </c>
      <c r="B25" s="17" t="inlineStr">
        <is>
          <t>PROD-023</t>
        </is>
      </c>
      <c r="C25" s="18" t="inlineStr">
        <is>
          <t>Security Camera 1080p</t>
        </is>
      </c>
      <c r="D25" s="18" t="inlineStr">
        <is>
          <t>Smart Home</t>
        </is>
      </c>
      <c r="E25" s="18" t="inlineStr">
        <is>
          <t>HomeIoT</t>
        </is>
      </c>
      <c r="F25" s="17" t="inlineStr">
        <is>
          <t>2026-03-08</t>
        </is>
      </c>
      <c r="G25" s="19" t="n">
        <v>40</v>
      </c>
      <c r="H25" s="19" t="n">
        <v>39</v>
      </c>
      <c r="I25" s="20" t="n">
        <v>2400</v>
      </c>
      <c r="J25" s="17" t="n">
        <v>10</v>
      </c>
      <c r="K25" s="18" t="inlineStr">
        <is>
          <t>Discrepancy (-1)</t>
        </is>
      </c>
    </row>
    <row r="26">
      <c r="A26" s="13" t="inlineStr">
        <is>
          <t>INV-1025</t>
        </is>
      </c>
      <c r="B26" s="13" t="inlineStr">
        <is>
          <t>PROD-005</t>
        </is>
      </c>
      <c r="C26" s="14" t="inlineStr">
        <is>
          <t>LAPTOP STAND</t>
        </is>
      </c>
      <c r="D26" s="14" t="inlineStr">
        <is>
          <t>Accessories</t>
        </is>
      </c>
      <c r="E26" s="14" t="inlineStr">
        <is>
          <t>DataLink Corp.</t>
        </is>
      </c>
      <c r="F26" s="13" t="inlineStr">
        <is>
          <t>2026-01-20</t>
        </is>
      </c>
      <c r="G26" s="15" t="n">
        <v>60</v>
      </c>
      <c r="H26" s="15" t="n">
        <v>55</v>
      </c>
      <c r="I26" s="16" t="n">
        <v>950</v>
      </c>
      <c r="J26" s="13" t="n">
        <v>20</v>
      </c>
      <c r="K26" s="14" t="inlineStr">
        <is>
          <t>Exact Duplicate of INV-1005</t>
        </is>
      </c>
    </row>
    <row r="27">
      <c r="A27" s="17" t="inlineStr">
        <is>
          <t>INV-1026</t>
        </is>
      </c>
      <c r="B27" s="17" t="inlineStr">
        <is>
          <t>PROD-024</t>
        </is>
      </c>
      <c r="C27" s="18" t="inlineStr">
        <is>
          <t>Graphics Drawing Tablet</t>
        </is>
      </c>
      <c r="D27" s="18" t="inlineStr">
        <is>
          <t>Peripherals</t>
        </is>
      </c>
      <c r="E27" s="18" t="inlineStr">
        <is>
          <t>VisionTech</t>
        </is>
      </c>
      <c r="F27" s="17" t="inlineStr">
        <is>
          <t>03/10/2026</t>
        </is>
      </c>
      <c r="G27" s="19" t="n">
        <v>18</v>
      </c>
      <c r="H27" s="19" t="n">
        <v>16</v>
      </c>
      <c r="I27" s="20" t="n">
        <v>4900</v>
      </c>
      <c r="J27" s="17" t="n">
        <v>5</v>
      </c>
      <c r="K27" s="18" t="inlineStr">
        <is>
          <t>Discrepancy (-2)</t>
        </is>
      </c>
    </row>
    <row r="28">
      <c r="A28" s="13" t="inlineStr">
        <is>
          <t>INV-1027</t>
        </is>
      </c>
      <c r="B28" s="13" t="inlineStr">
        <is>
          <t>PROD-025</t>
        </is>
      </c>
      <c r="C28" s="14" t="inlineStr">
        <is>
          <t>Bluetooth Earbuds</t>
        </is>
      </c>
      <c r="D28" s="14" t="inlineStr">
        <is>
          <t>Audio</t>
        </is>
      </c>
      <c r="E28" s="14" t="inlineStr">
        <is>
          <t>SoundWave Ph</t>
        </is>
      </c>
      <c r="F28" s="13" t="inlineStr">
        <is>
          <t>2026-03-12</t>
        </is>
      </c>
      <c r="G28" s="15" t="n">
        <v>130</v>
      </c>
      <c r="H28" s="15" t="n">
        <v>125</v>
      </c>
      <c r="I28" s="16" t="n">
        <v>1600</v>
      </c>
      <c r="J28" s="13" t="n">
        <v>30</v>
      </c>
      <c r="K28" s="14" t="inlineStr">
        <is>
          <t>Discrepancy (-5)</t>
        </is>
      </c>
    </row>
    <row r="29">
      <c r="A29" s="17" t="inlineStr">
        <is>
          <t>INV-1028</t>
        </is>
      </c>
      <c r="B29" s="17" t="inlineStr">
        <is>
          <t>PROD-026</t>
        </is>
      </c>
      <c r="C29" s="18" t="inlineStr">
        <is>
          <t>Type-C Charging Cable</t>
        </is>
      </c>
      <c r="D29" s="18" t="inlineStr">
        <is>
          <t>Accessories</t>
        </is>
      </c>
      <c r="E29" s="18" t="inlineStr">
        <is>
          <t>DataLink Corp.</t>
        </is>
      </c>
      <c r="F29" s="17" t="inlineStr">
        <is>
          <t>2026-03-15</t>
        </is>
      </c>
      <c r="G29" s="19" t="n">
        <v>250</v>
      </c>
      <c r="H29" s="19" t="n">
        <v>245</v>
      </c>
      <c r="I29" s="20" t="n">
        <v>180</v>
      </c>
      <c r="J29" s="17" t="n">
        <v>50</v>
      </c>
      <c r="K29" s="18" t="inlineStr">
        <is>
          <t>Discrepancy (-5)</t>
        </is>
      </c>
    </row>
    <row r="30">
      <c r="A30" s="13" t="inlineStr">
        <is>
          <t>INV-1029</t>
        </is>
      </c>
      <c r="B30" s="13" t="inlineStr">
        <is>
          <t>PROD-027</t>
        </is>
      </c>
      <c r="C30" s="14" t="inlineStr">
        <is>
          <t>Monitor Light Bar</t>
        </is>
      </c>
      <c r="D30" s="14" t="inlineStr">
        <is>
          <t>Accessories</t>
        </is>
      </c>
      <c r="E30" s="14" t="inlineStr">
        <is>
          <t>BrightHome</t>
        </is>
      </c>
      <c r="F30" s="13" t="inlineStr">
        <is>
          <t>03/18/2026</t>
        </is>
      </c>
      <c r="G30" s="15" t="n">
        <v>45</v>
      </c>
      <c r="H30" s="15" t="n">
        <v>45</v>
      </c>
      <c r="I30" s="16" t="n">
        <v>1950</v>
      </c>
      <c r="J30" s="13" t="n">
        <v>10</v>
      </c>
      <c r="K30" s="14" t="inlineStr">
        <is>
          <t>Counts match</t>
        </is>
      </c>
    </row>
    <row r="31">
      <c r="A31" s="17" t="inlineStr">
        <is>
          <t>INV-1030</t>
        </is>
      </c>
      <c r="B31" s="17" t="inlineStr">
        <is>
          <t>PROD-028</t>
        </is>
      </c>
      <c r="C31" s="18" t="inlineStr">
        <is>
          <t>Wireless Numeric Keypad</t>
        </is>
      </c>
      <c r="D31" s="18" t="inlineStr">
        <is>
          <t>Peripherals</t>
        </is>
      </c>
      <c r="E31" s="18" t="inlineStr">
        <is>
          <t>TechGlobal Inc.</t>
        </is>
      </c>
      <c r="F31" s="17" t="inlineStr">
        <is>
          <t>2026-03-20</t>
        </is>
      </c>
      <c r="G31" s="19" t="n">
        <v>60</v>
      </c>
      <c r="H31" s="19" t="n">
        <v>60</v>
      </c>
      <c r="I31" s="20" t="n">
        <v>750</v>
      </c>
      <c r="J31" s="17" t="n">
        <v>15</v>
      </c>
      <c r="K31" s="18" t="inlineStr">
        <is>
          <t>Counts match</t>
        </is>
      </c>
    </row>
    <row r="32">
      <c r="A32" s="13" t="inlineStr">
        <is>
          <t>INV-1031</t>
        </is>
      </c>
      <c r="B32" s="13" t="inlineStr">
        <is>
          <t>PROD-029</t>
        </is>
      </c>
      <c r="C32" s="14" t="inlineStr">
        <is>
          <t>KVM Switch 2-Port</t>
        </is>
      </c>
      <c r="D32" s="14" t="inlineStr">
        <is>
          <t>Networking</t>
        </is>
      </c>
      <c r="E32" s="14" t="inlineStr"/>
      <c r="F32" s="13" t="inlineStr">
        <is>
          <t>2026-03-22</t>
        </is>
      </c>
      <c r="G32" s="15" t="n">
        <v>22</v>
      </c>
      <c r="H32" s="15" t="n">
        <v>21</v>
      </c>
      <c r="I32" s="16" t="n">
        <v>2300</v>
      </c>
      <c r="J32" s="13" t="n">
        <v>6</v>
      </c>
      <c r="K32" s="14" t="inlineStr">
        <is>
          <t>Missing supplier, discrepancy (-1)</t>
        </is>
      </c>
    </row>
    <row r="33">
      <c r="A33" s="17" t="inlineStr">
        <is>
          <t>INV-1032</t>
        </is>
      </c>
      <c r="B33" s="17" t="inlineStr">
        <is>
          <t>PROD-030</t>
        </is>
      </c>
      <c r="C33" s="18" t="inlineStr">
        <is>
          <t>Laptop Privacy Screen</t>
        </is>
      </c>
      <c r="D33" s="18" t="inlineStr">
        <is>
          <t>Accessories</t>
        </is>
      </c>
      <c r="E33" s="18" t="inlineStr">
        <is>
          <t>DataLink Corp.</t>
        </is>
      </c>
      <c r="F33" s="17" t="inlineStr">
        <is>
          <t>03/25/2026</t>
        </is>
      </c>
      <c r="G33" s="19" t="n">
        <v>50</v>
      </c>
      <c r="H33" s="19" t="n">
        <v>50</v>
      </c>
      <c r="I33" s="20" t="n">
        <v>1250</v>
      </c>
      <c r="J33" s="17" t="n">
        <v>12</v>
      </c>
      <c r="K33" s="18" t="inlineStr">
        <is>
          <t>Counts match</t>
        </is>
      </c>
    </row>
    <row r="34">
      <c r="A34" s="13" t="inlineStr">
        <is>
          <t>INV-1033</t>
        </is>
      </c>
      <c r="B34" s="13" t="inlineStr">
        <is>
          <t>PROD-031</t>
        </is>
      </c>
      <c r="C34" s="14" t="inlineStr">
        <is>
          <t>Vertical Ergonomic Mouse</t>
        </is>
      </c>
      <c r="D34" s="14" t="inlineStr">
        <is>
          <t>Peripherals</t>
        </is>
      </c>
      <c r="E34" s="14" t="inlineStr">
        <is>
          <t>TechGlobal Inc.</t>
        </is>
      </c>
      <c r="F34" s="13" t="inlineStr">
        <is>
          <t>2026-03-28</t>
        </is>
      </c>
      <c r="G34" s="15" t="n">
        <v>65</v>
      </c>
      <c r="H34" s="15" t="n">
        <v>62</v>
      </c>
      <c r="I34" s="16" t="n">
        <v>1150</v>
      </c>
      <c r="J34" s="13" t="n">
        <v>15</v>
      </c>
      <c r="K34" s="14" t="inlineStr">
        <is>
          <t>Discrepancy (-3)</t>
        </is>
      </c>
    </row>
    <row r="35">
      <c r="A35" s="17" t="inlineStr">
        <is>
          <t>INV-1034</t>
        </is>
      </c>
      <c r="B35" s="17" t="inlineStr">
        <is>
          <t>PROD-032</t>
        </is>
      </c>
      <c r="C35" s="18" t="inlineStr">
        <is>
          <t>USB Hub 7-Port Powered</t>
        </is>
      </c>
      <c r="D35" s="18" t="inlineStr">
        <is>
          <t>Accessories</t>
        </is>
      </c>
      <c r="E35" s="18" t="inlineStr">
        <is>
          <t>DataLink Corp.</t>
        </is>
      </c>
      <c r="F35" s="17" t="inlineStr">
        <is>
          <t>2026-03-30</t>
        </is>
      </c>
      <c r="G35" s="19" t="n">
        <v>40</v>
      </c>
      <c r="H35" s="19" t="n">
        <v>40</v>
      </c>
      <c r="I35" s="20" t="n">
        <v>1450</v>
      </c>
      <c r="J35" s="17" t="n">
        <v>10</v>
      </c>
      <c r="K35" s="18" t="inlineStr">
        <is>
          <t>Counts match</t>
        </is>
      </c>
    </row>
    <row r="36">
      <c r="A36" s="13" t="inlineStr">
        <is>
          <t>INV-1035</t>
        </is>
      </c>
      <c r="B36" s="13" t="inlineStr">
        <is>
          <t>PROD-033</t>
        </is>
      </c>
      <c r="C36" s="14" t="inlineStr">
        <is>
          <t>Mechanical NumPad</t>
        </is>
      </c>
      <c r="D36" s="14" t="inlineStr">
        <is>
          <t>Peripherals</t>
        </is>
      </c>
      <c r="E36" s="14" t="inlineStr">
        <is>
          <t>TechGlobal Inc.</t>
        </is>
      </c>
      <c r="F36" s="13" t="inlineStr">
        <is>
          <t>04/01/2026</t>
        </is>
      </c>
      <c r="G36" s="15" t="n">
        <v>35</v>
      </c>
      <c r="H36" s="15" t="n">
        <v>33</v>
      </c>
      <c r="I36" s="16" t="n">
        <v>980</v>
      </c>
      <c r="J36" s="13" t="n">
        <v>10</v>
      </c>
      <c r="K36" s="14" t="inlineStr">
        <is>
          <t>Discrepancy (-2)</t>
        </is>
      </c>
    </row>
    <row r="37">
      <c r="A37" s="17" t="inlineStr">
        <is>
          <t>INV-1036</t>
        </is>
      </c>
      <c r="B37" s="17" t="inlineStr">
        <is>
          <t>PROD-034</t>
        </is>
      </c>
      <c r="C37" s="18" t="inlineStr">
        <is>
          <t>Desk Mat Extended</t>
        </is>
      </c>
      <c r="D37" s="18" t="inlineStr">
        <is>
          <t>Accessories</t>
        </is>
      </c>
      <c r="E37" s="18" t="inlineStr">
        <is>
          <t>BrightHome</t>
        </is>
      </c>
      <c r="F37" s="17" t="inlineStr">
        <is>
          <t>2026-04-03</t>
        </is>
      </c>
      <c r="G37" s="19" t="n">
        <v>110</v>
      </c>
      <c r="H37" s="19" t="n">
        <v>110</v>
      </c>
      <c r="I37" s="20" t="n">
        <v>420</v>
      </c>
      <c r="J37" s="17" t="n">
        <v>25</v>
      </c>
      <c r="K37" s="18" t="inlineStr">
        <is>
          <t>Counts match</t>
        </is>
      </c>
    </row>
    <row r="38">
      <c r="A38" s="13" t="inlineStr">
        <is>
          <t>INV-1037</t>
        </is>
      </c>
      <c r="B38" s="13" t="inlineStr">
        <is>
          <t>PROD-035</t>
        </is>
      </c>
      <c r="C38" s="14" t="inlineStr">
        <is>
          <t>Cable Management Box</t>
        </is>
      </c>
      <c r="D38" s="14" t="inlineStr">
        <is>
          <t>Accessories</t>
        </is>
      </c>
      <c r="E38" s="14" t="inlineStr">
        <is>
          <t>BrightHome</t>
        </is>
      </c>
      <c r="F38" s="13" t="inlineStr">
        <is>
          <t>2026-04-05</t>
        </is>
      </c>
      <c r="G38" s="15" t="n">
        <v>80</v>
      </c>
      <c r="H38" s="15" t="n">
        <v>78</v>
      </c>
      <c r="I38" s="16" t="n">
        <v>350</v>
      </c>
      <c r="J38" s="13" t="n">
        <v>20</v>
      </c>
      <c r="K38" s="14" t="inlineStr">
        <is>
          <t>Discrepancy (-2)</t>
        </is>
      </c>
    </row>
    <row r="39">
      <c r="A39" s="17" t="inlineStr">
        <is>
          <t>INV-1038</t>
        </is>
      </c>
      <c r="B39" s="17" t="inlineStr">
        <is>
          <t>PROD-003</t>
        </is>
      </c>
      <c r="C39" s="18" t="inlineStr">
        <is>
          <t>27-inch IPS Monitor</t>
        </is>
      </c>
      <c r="D39" s="18" t="inlineStr">
        <is>
          <t>Displays</t>
        </is>
      </c>
      <c r="E39" s="18" t="inlineStr">
        <is>
          <t>Apex Electronics</t>
        </is>
      </c>
      <c r="F39" s="17" t="inlineStr">
        <is>
          <t>01/15/2026</t>
        </is>
      </c>
      <c r="G39" s="19" t="n">
        <v>40</v>
      </c>
      <c r="H39" s="19" t="n">
        <v>38</v>
      </c>
      <c r="I39" s="20" t="n">
        <v>8500</v>
      </c>
      <c r="J39" s="17" t="n">
        <v>10</v>
      </c>
      <c r="K39" s="18" t="inlineStr">
        <is>
          <t>Exact Duplicate of INV-1003</t>
        </is>
      </c>
    </row>
    <row r="40">
      <c r="A40" s="13" t="inlineStr">
        <is>
          <t>INV-1039</t>
        </is>
      </c>
      <c r="B40" s="13" t="inlineStr">
        <is>
          <t>PROD-036</t>
        </is>
      </c>
      <c r="C40" s="14" t="inlineStr">
        <is>
          <t>Webcam Ring Light</t>
        </is>
      </c>
      <c r="D40" s="14" t="inlineStr">
        <is>
          <t>Peripherals</t>
        </is>
      </c>
      <c r="E40" s="14" t="inlineStr">
        <is>
          <t>VisionTech</t>
        </is>
      </c>
      <c r="F40" s="13" t="inlineStr">
        <is>
          <t>04/08/2026</t>
        </is>
      </c>
      <c r="G40" s="15" t="n">
        <v>75</v>
      </c>
      <c r="H40" s="15" t="n">
        <v>75</v>
      </c>
      <c r="I40" s="16" t="n">
        <v>850</v>
      </c>
      <c r="J40" s="13" t="n">
        <v>15</v>
      </c>
      <c r="K40" s="14" t="inlineStr">
        <is>
          <t>Counts match</t>
        </is>
      </c>
    </row>
    <row r="41">
      <c r="A41" s="17" t="inlineStr">
        <is>
          <t>INV-1040</t>
        </is>
      </c>
      <c r="B41" s="17" t="inlineStr">
        <is>
          <t>PROD-037</t>
        </is>
      </c>
      <c r="C41" s="18" t="inlineStr">
        <is>
          <t>Mini PC Mount VESA</t>
        </is>
      </c>
      <c r="D41" s="18" t="inlineStr">
        <is>
          <t>Accessories</t>
        </is>
      </c>
      <c r="E41" s="18" t="inlineStr">
        <is>
          <t>DataLink Corp.</t>
        </is>
      </c>
      <c r="F41" s="17" t="inlineStr">
        <is>
          <t>2026-04-10</t>
        </is>
      </c>
      <c r="G41" s="19" t="n">
        <v>30</v>
      </c>
      <c r="H41" s="19" t="n">
        <v>30</v>
      </c>
      <c r="I41" s="20" t="n">
        <v>680</v>
      </c>
      <c r="J41" s="17" t="n">
        <v>8</v>
      </c>
      <c r="K41" s="18" t="inlineStr">
        <is>
          <t>Counts match</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39"/>
  <sheetViews>
    <sheetView showGridLines="1" workbookViewId="0">
      <pane ySplit="1" topLeftCell="A2" activePane="bottomLeft" state="frozen"/>
      <selection pane="bottomLeft" activeCell="A1" sqref="A1"/>
    </sheetView>
  </sheetViews>
  <sheetFormatPr baseColWidth="8" defaultRowHeight="15"/>
  <cols>
    <col width="19" customWidth="1" min="1" max="1"/>
    <col width="14" customWidth="1" min="2" max="2"/>
    <col width="28" customWidth="1" min="3" max="3"/>
    <col width="15" customWidth="1" min="4" max="4"/>
    <col width="34" customWidth="1" min="5" max="5"/>
    <col width="17" customWidth="1" min="6" max="6"/>
    <col width="19" customWidth="1" min="7" max="7"/>
    <col width="18" customWidth="1" min="8" max="8"/>
    <col width="16" customWidth="1" min="9" max="9"/>
    <col width="19" customWidth="1" min="10" max="10"/>
    <col width="27" customWidth="1" min="11" max="11"/>
    <col width="17" customWidth="1" min="12" max="12"/>
    <col width="71" customWidth="1" min="13" max="13"/>
    <col width="64" customWidth="1" min="14" max="14"/>
  </cols>
  <sheetData>
    <row r="1">
      <c r="A1" s="4" t="inlineStr">
        <is>
          <t>Record ID</t>
        </is>
      </c>
      <c r="B1" s="4" t="inlineStr">
        <is>
          <t>Product ID</t>
        </is>
      </c>
      <c r="C1" s="4" t="inlineStr">
        <is>
          <t>Product Name</t>
        </is>
      </c>
      <c r="D1" s="4" t="inlineStr">
        <is>
          <t>Category</t>
        </is>
      </c>
      <c r="E1" s="4" t="inlineStr">
        <is>
          <t>Supplier</t>
        </is>
      </c>
      <c r="F1" s="4" t="inlineStr">
        <is>
          <t>Date Recorded</t>
        </is>
      </c>
      <c r="G1" s="4" t="inlineStr">
        <is>
          <t>System Quantity</t>
        </is>
      </c>
      <c r="H1" s="4" t="inlineStr">
        <is>
          <t>Physical Count</t>
        </is>
      </c>
      <c r="I1" s="4" t="inlineStr">
        <is>
          <t>Variance</t>
        </is>
      </c>
      <c r="J1" s="4" t="inlineStr">
        <is>
          <t>Unit Cost (PHP)</t>
        </is>
      </c>
      <c r="K1" s="4" t="inlineStr">
        <is>
          <t>Discrepancy Value (PHP)</t>
        </is>
      </c>
      <c r="L1" s="4" t="inlineStr">
        <is>
          <t>Reorder Level</t>
        </is>
      </c>
      <c r="M1" s="4" t="inlineStr">
        <is>
          <t>Stock Status</t>
        </is>
      </c>
      <c r="N1" s="4" t="inlineStr">
        <is>
          <t>Remarks / Cleaning Notes</t>
        </is>
      </c>
    </row>
    <row r="2">
      <c r="A2" s="13" t="inlineStr">
        <is>
          <t>INV-1001</t>
        </is>
      </c>
      <c r="B2" s="13" t="inlineStr">
        <is>
          <t>PROD-001</t>
        </is>
      </c>
      <c r="C2" s="14" t="inlineStr">
        <is>
          <t>Wireless Mouse</t>
        </is>
      </c>
      <c r="D2" s="14" t="inlineStr">
        <is>
          <t>Peripherals</t>
        </is>
      </c>
      <c r="E2" s="14" t="inlineStr">
        <is>
          <t>TechGlobal Inc.</t>
        </is>
      </c>
      <c r="F2" s="13" t="inlineStr">
        <is>
          <t>2026-01-10</t>
        </is>
      </c>
      <c r="G2" s="15" t="n">
        <v>120</v>
      </c>
      <c r="H2" s="15" t="n">
        <v>118</v>
      </c>
      <c r="I2" s="15">
        <f>H2-G2</f>
        <v/>
      </c>
      <c r="J2" s="16" t="n">
        <v>450</v>
      </c>
      <c r="K2" s="16">
        <f>ABS(I2)*J2</f>
        <v/>
      </c>
      <c r="L2" s="13" t="n">
        <v>25</v>
      </c>
      <c r="M2" s="21">
        <f>IF(H2&lt;=L2,"Low Stock",IF(I2&lt;&gt;0,"Discrepancy Flagged","Normal"))</f>
        <v/>
      </c>
      <c r="N2" s="14" t="inlineStr">
        <is>
          <t>Trimmed spaces, resolved minor stock variance (-2)</t>
        </is>
      </c>
    </row>
    <row r="3">
      <c r="A3" s="17" t="inlineStr">
        <is>
          <t>INV-1002</t>
        </is>
      </c>
      <c r="B3" s="17" t="inlineStr">
        <is>
          <t>PROD-002</t>
        </is>
      </c>
      <c r="C3" s="18" t="inlineStr">
        <is>
          <t>Mechanical Keyboard</t>
        </is>
      </c>
      <c r="D3" s="18" t="inlineStr">
        <is>
          <t>Peripherals</t>
        </is>
      </c>
      <c r="E3" s="18" t="inlineStr">
        <is>
          <t>TechGlobal Inc.</t>
        </is>
      </c>
      <c r="F3" s="17" t="inlineStr">
        <is>
          <t>2026-01-12</t>
        </is>
      </c>
      <c r="G3" s="19" t="n">
        <v>75</v>
      </c>
      <c r="H3" s="19" t="n">
        <v>75</v>
      </c>
      <c r="I3" s="19">
        <f>H3-G3</f>
        <v/>
      </c>
      <c r="J3" s="20" t="n">
        <v>1850</v>
      </c>
      <c r="K3" s="20">
        <f>ABS(I3)*J3</f>
        <v/>
      </c>
      <c r="L3" s="17" t="n">
        <v>15</v>
      </c>
      <c r="M3" s="21">
        <f>IF(H3&lt;=L3,"Low Stock",IF(I3&lt;&gt;0,"Discrepancy Flagged","Normal"))</f>
        <v/>
      </c>
      <c r="N3" s="18" t="inlineStr">
        <is>
          <t>Standardized name and ID; counts verified</t>
        </is>
      </c>
    </row>
    <row r="4">
      <c r="A4" s="13" t="inlineStr">
        <is>
          <t>INV-1003</t>
        </is>
      </c>
      <c r="B4" s="13" t="inlineStr">
        <is>
          <t>PROD-003</t>
        </is>
      </c>
      <c r="C4" s="14" t="inlineStr">
        <is>
          <t>27-inch IPS Monitor</t>
        </is>
      </c>
      <c r="D4" s="14" t="inlineStr">
        <is>
          <t>Displays</t>
        </is>
      </c>
      <c r="E4" s="14" t="inlineStr">
        <is>
          <t>Apex Electronics</t>
        </is>
      </c>
      <c r="F4" s="13" t="inlineStr">
        <is>
          <t>2026-01-15</t>
        </is>
      </c>
      <c r="G4" s="15" t="n">
        <v>40</v>
      </c>
      <c r="H4" s="15" t="n">
        <v>38</v>
      </c>
      <c r="I4" s="15">
        <f>H4-G4</f>
        <v/>
      </c>
      <c r="J4" s="16" t="n">
        <v>8500</v>
      </c>
      <c r="K4" s="16">
        <f>ABS(I4)*J4</f>
        <v/>
      </c>
      <c r="L4" s="13" t="n">
        <v>10</v>
      </c>
      <c r="M4" s="21">
        <f>IF(H4&lt;=L4,"Low Stock",IF(I4&lt;&gt;0,"Discrepancy Flagged","Normal"))</f>
        <v/>
      </c>
      <c r="N4" s="14" t="inlineStr">
        <is>
          <t>Standardized date format; variance (-2) flagged</t>
        </is>
      </c>
    </row>
    <row r="5">
      <c r="A5" s="17" t="inlineStr">
        <is>
          <t>INV-1004</t>
        </is>
      </c>
      <c r="B5" s="17" t="inlineStr">
        <is>
          <t>PROD-004</t>
        </is>
      </c>
      <c r="C5" s="18" t="inlineStr">
        <is>
          <t>USB-C Hub</t>
        </is>
      </c>
      <c r="D5" s="18" t="inlineStr">
        <is>
          <t>Accessories</t>
        </is>
      </c>
      <c r="E5" s="18" t="inlineStr">
        <is>
          <t>DataLink Corp.</t>
        </is>
      </c>
      <c r="F5" s="17" t="inlineStr">
        <is>
          <t>2026-01-18</t>
        </is>
      </c>
      <c r="G5" s="19" t="n">
        <v>150</v>
      </c>
      <c r="H5" s="19" t="n">
        <v>150</v>
      </c>
      <c r="I5" s="19">
        <f>H5-G5</f>
        <v/>
      </c>
      <c r="J5" s="20" t="n">
        <v>650</v>
      </c>
      <c r="K5" s="20">
        <f>ABS(I5)*J5</f>
        <v/>
      </c>
      <c r="L5" s="17" t="n">
        <v>30</v>
      </c>
      <c r="M5" s="21">
        <f>IF(H5&lt;=L5,"Low Stock",IF(I5&lt;&gt;0,"Discrepancy Flagged","Normal"))</f>
        <v/>
      </c>
      <c r="N5" s="18" t="inlineStr">
        <is>
          <t>Fixed product ID case and trailing spaces</t>
        </is>
      </c>
    </row>
    <row r="6">
      <c r="A6" s="13" t="inlineStr">
        <is>
          <t>INV-1005</t>
        </is>
      </c>
      <c r="B6" s="13" t="inlineStr">
        <is>
          <t>PROD-005</t>
        </is>
      </c>
      <c r="C6" s="14" t="inlineStr">
        <is>
          <t>Laptop Stand</t>
        </is>
      </c>
      <c r="D6" s="14" t="inlineStr">
        <is>
          <t>Accessories</t>
        </is>
      </c>
      <c r="E6" s="14" t="inlineStr">
        <is>
          <t>DataLink Corp.</t>
        </is>
      </c>
      <c r="F6" s="13" t="inlineStr">
        <is>
          <t>2026-01-20</t>
        </is>
      </c>
      <c r="G6" s="15" t="n">
        <v>60</v>
      </c>
      <c r="H6" s="15" t="n">
        <v>55</v>
      </c>
      <c r="I6" s="15">
        <f>H6-G6</f>
        <v/>
      </c>
      <c r="J6" s="16" t="n">
        <v>950</v>
      </c>
      <c r="K6" s="16">
        <f>ABS(I6)*J6</f>
        <v/>
      </c>
      <c r="L6" s="13" t="n">
        <v>20</v>
      </c>
      <c r="M6" s="21">
        <f>IF(H6&lt;=L6,"Low Stock",IF(I6&lt;&gt;0,"Discrepancy Flagged","Normal"))</f>
        <v/>
      </c>
      <c r="N6" s="14" t="inlineStr">
        <is>
          <t>Fixed capitalization; variance (-5) flagged</t>
        </is>
      </c>
    </row>
    <row r="7">
      <c r="A7" s="17" t="inlineStr">
        <is>
          <t>INV-1006</t>
        </is>
      </c>
      <c r="B7" s="17" t="inlineStr">
        <is>
          <t>PROD-006</t>
        </is>
      </c>
      <c r="C7" s="18" t="inlineStr">
        <is>
          <t>External SSD 1TB</t>
        </is>
      </c>
      <c r="D7" s="18" t="inlineStr">
        <is>
          <t>Storage</t>
        </is>
      </c>
      <c r="E7" s="22" t="inlineStr">
        <is>
          <t>[Missing Supplier - Follow-up]</t>
        </is>
      </c>
      <c r="F7" s="17" t="inlineStr">
        <is>
          <t>2026-01-22</t>
        </is>
      </c>
      <c r="G7" s="19" t="n">
        <v>30</v>
      </c>
      <c r="H7" s="19" t="n">
        <v>30</v>
      </c>
      <c r="I7" s="19">
        <f>H7-G7</f>
        <v/>
      </c>
      <c r="J7" s="20" t="n">
        <v>4200</v>
      </c>
      <c r="K7" s="20">
        <f>ABS(I7)*J7</f>
        <v/>
      </c>
      <c r="L7" s="17" t="n">
        <v>10</v>
      </c>
      <c r="M7" s="21">
        <f>IF(H7&lt;=L7,"Low Stock",IF(I7&lt;&gt;0,"Discrepancy Flagged","Normal"))</f>
        <v/>
      </c>
      <c r="N7" s="18" t="inlineStr">
        <is>
          <t>Missing supplier flagged; preserved blank per integrity rule</t>
        </is>
      </c>
    </row>
    <row r="8">
      <c r="A8" s="13" t="inlineStr">
        <is>
          <t>INV-1007</t>
        </is>
      </c>
      <c r="B8" s="13" t="inlineStr">
        <is>
          <t>PROD-007</t>
        </is>
      </c>
      <c r="C8" s="14" t="inlineStr">
        <is>
          <t>HD Webcam 1080p</t>
        </is>
      </c>
      <c r="D8" s="14" t="inlineStr">
        <is>
          <t>Peripherals</t>
        </is>
      </c>
      <c r="E8" s="14" t="inlineStr">
        <is>
          <t>VisionTech</t>
        </is>
      </c>
      <c r="F8" s="13" t="inlineStr">
        <is>
          <t>2026-01-25</t>
        </is>
      </c>
      <c r="G8" s="15" t="n">
        <v>85</v>
      </c>
      <c r="H8" s="15" t="n">
        <v>80</v>
      </c>
      <c r="I8" s="15">
        <f>H8-G8</f>
        <v/>
      </c>
      <c r="J8" s="16" t="n">
        <v>1200</v>
      </c>
      <c r="K8" s="16">
        <f>ABS(I8)*J8</f>
        <v/>
      </c>
      <c r="L8" s="13" t="n">
        <v>20</v>
      </c>
      <c r="M8" s="21">
        <f>IF(H8&lt;=L8,"Low Stock",IF(I8&lt;&gt;0,"Discrepancy Flagged","Normal"))</f>
        <v/>
      </c>
      <c r="N8" s="14" t="inlineStr">
        <is>
          <t>Standardized date format; variance (-5) flagged</t>
        </is>
      </c>
    </row>
    <row r="9">
      <c r="A9" s="17" t="inlineStr">
        <is>
          <t>INV-1008</t>
        </is>
      </c>
      <c r="B9" s="17" t="inlineStr">
        <is>
          <t>PROD-008</t>
        </is>
      </c>
      <c r="C9" s="18" t="inlineStr">
        <is>
          <t>Bluetooth Speaker</t>
        </is>
      </c>
      <c r="D9" s="18" t="inlineStr">
        <is>
          <t>Audio</t>
        </is>
      </c>
      <c r="E9" s="18" t="inlineStr">
        <is>
          <t>SoundWave Ph</t>
        </is>
      </c>
      <c r="F9" s="17" t="inlineStr">
        <is>
          <t>2026-01-28</t>
        </is>
      </c>
      <c r="G9" s="19" t="n">
        <v>50</v>
      </c>
      <c r="H9" s="19" t="n">
        <v>50</v>
      </c>
      <c r="I9" s="19">
        <f>H9-G9</f>
        <v/>
      </c>
      <c r="J9" s="20" t="n">
        <v>1500</v>
      </c>
      <c r="K9" s="20">
        <f>ABS(I9)*J9</f>
        <v/>
      </c>
      <c r="L9" s="17" t="n">
        <v>15</v>
      </c>
      <c r="M9" s="21">
        <f>IF(H9&lt;=L9,"Low Stock",IF(I9&lt;&gt;0,"Discrepancy Flagged","Normal"))</f>
        <v/>
      </c>
      <c r="N9" s="18" t="inlineStr">
        <is>
          <t>Standardized date format; counts verified</t>
        </is>
      </c>
    </row>
    <row r="10">
      <c r="A10" s="13" t="inlineStr">
        <is>
          <t>INV-1009</t>
        </is>
      </c>
      <c r="B10" s="13" t="inlineStr">
        <is>
          <t>PROD-009</t>
        </is>
      </c>
      <c r="C10" s="14" t="inlineStr">
        <is>
          <t>Ergonomic Office Chair</t>
        </is>
      </c>
      <c r="D10" s="14" t="inlineStr">
        <is>
          <t>Furniture</t>
        </is>
      </c>
      <c r="E10" s="14" t="inlineStr">
        <is>
          <t>ComfortSeating</t>
        </is>
      </c>
      <c r="F10" s="13" t="inlineStr">
        <is>
          <t>2026-02-01</t>
        </is>
      </c>
      <c r="G10" s="15" t="n">
        <v>20</v>
      </c>
      <c r="H10" s="15" t="n">
        <v>18</v>
      </c>
      <c r="I10" s="15">
        <f>H10-G10</f>
        <v/>
      </c>
      <c r="J10" s="16" t="n">
        <v>5400</v>
      </c>
      <c r="K10" s="16">
        <f>ABS(I10)*J10</f>
        <v/>
      </c>
      <c r="L10" s="13" t="n">
        <v>5</v>
      </c>
      <c r="M10" s="21">
        <f>IF(H10&lt;=L10,"Low Stock",IF(I10&lt;&gt;0,"Discrepancy Flagged","Normal"))</f>
        <v/>
      </c>
      <c r="N10" s="14" t="inlineStr">
        <is>
          <t>Variance (-2) flagged for investigation</t>
        </is>
      </c>
    </row>
    <row r="11">
      <c r="A11" s="17" t="inlineStr">
        <is>
          <t>INV-1010</t>
        </is>
      </c>
      <c r="B11" s="17" t="inlineStr">
        <is>
          <t>PROD-010</t>
        </is>
      </c>
      <c r="C11" s="18" t="inlineStr">
        <is>
          <t>Standing Desk Frame</t>
        </is>
      </c>
      <c r="D11" s="18" t="inlineStr">
        <is>
          <t>Furniture</t>
        </is>
      </c>
      <c r="E11" s="18" t="inlineStr">
        <is>
          <t>ComfortSeating</t>
        </is>
      </c>
      <c r="F11" s="17" t="inlineStr">
        <is>
          <t>2026-02-03</t>
        </is>
      </c>
      <c r="G11" s="19" t="n">
        <v>15</v>
      </c>
      <c r="H11" s="19" t="n">
        <v>15</v>
      </c>
      <c r="I11" s="19">
        <f>H11-G11</f>
        <v/>
      </c>
      <c r="J11" s="20" t="n">
        <v>12500</v>
      </c>
      <c r="K11" s="20">
        <f>ABS(I11)*J11</f>
        <v/>
      </c>
      <c r="L11" s="17" t="n">
        <v>4</v>
      </c>
      <c r="M11" s="21">
        <f>IF(H11&lt;=L11,"Low Stock",IF(I11&lt;&gt;0,"Discrepancy Flagged","Normal"))</f>
        <v/>
      </c>
      <c r="N11" s="18" t="inlineStr">
        <is>
          <t>Counts match; verified</t>
        </is>
      </c>
    </row>
    <row r="12">
      <c r="A12" s="13" t="inlineStr">
        <is>
          <t>INV-1012</t>
        </is>
      </c>
      <c r="B12" s="13" t="inlineStr">
        <is>
          <t>PROD-011</t>
        </is>
      </c>
      <c r="C12" s="14" t="inlineStr">
        <is>
          <t>HDMI Cable 2m</t>
        </is>
      </c>
      <c r="D12" s="14" t="inlineStr">
        <is>
          <t>Accessories</t>
        </is>
      </c>
      <c r="E12" s="14" t="inlineStr">
        <is>
          <t>DataLink Corp.</t>
        </is>
      </c>
      <c r="F12" s="13" t="inlineStr">
        <is>
          <t>2026-02-05</t>
        </is>
      </c>
      <c r="G12" s="15" t="n">
        <v>200</v>
      </c>
      <c r="H12" s="15" t="n">
        <v>195</v>
      </c>
      <c r="I12" s="15">
        <f>H12-G12</f>
        <v/>
      </c>
      <c r="J12" s="16" t="n">
        <v>250</v>
      </c>
      <c r="K12" s="16">
        <f>ABS(I12)*J12</f>
        <v/>
      </c>
      <c r="L12" s="13" t="n">
        <v>40</v>
      </c>
      <c r="M12" s="21">
        <f>IF(H12&lt;=L12,"Low Stock",IF(I12&lt;&gt;0,"Discrepancy Flagged","Normal"))</f>
        <v/>
      </c>
      <c r="N12" s="14" t="inlineStr">
        <is>
          <t>Standardized date format; variance (-5) flagged</t>
        </is>
      </c>
    </row>
    <row r="13">
      <c r="A13" s="17" t="inlineStr">
        <is>
          <t>INV-1013</t>
        </is>
      </c>
      <c r="B13" s="17" t="inlineStr">
        <is>
          <t>PROD-012</t>
        </is>
      </c>
      <c r="C13" s="18" t="inlineStr">
        <is>
          <t>Wi-Fi 6 Router</t>
        </is>
      </c>
      <c r="D13" s="18" t="inlineStr">
        <is>
          <t>Networking</t>
        </is>
      </c>
      <c r="E13" s="18" t="inlineStr">
        <is>
          <t>NetGear Asia</t>
        </is>
      </c>
      <c r="F13" s="17" t="inlineStr">
        <is>
          <t>2026-02-08</t>
        </is>
      </c>
      <c r="G13" s="19" t="n">
        <v>45</v>
      </c>
      <c r="H13" s="19" t="n">
        <v>45</v>
      </c>
      <c r="I13" s="19">
        <f>H13-G13</f>
        <v/>
      </c>
      <c r="J13" s="20" t="n">
        <v>3100</v>
      </c>
      <c r="K13" s="20">
        <f>ABS(I13)*J13</f>
        <v/>
      </c>
      <c r="L13" s="17" t="n">
        <v>10</v>
      </c>
      <c r="M13" s="21">
        <f>IF(H13&lt;=L13,"Low Stock",IF(I13&lt;&gt;0,"Discrepancy Flagged","Normal"))</f>
        <v/>
      </c>
      <c r="N13" s="18" t="inlineStr">
        <is>
          <t>Counts match; verified</t>
        </is>
      </c>
    </row>
    <row r="14">
      <c r="A14" s="13" t="inlineStr">
        <is>
          <t>INV-1014</t>
        </is>
      </c>
      <c r="B14" s="13" t="inlineStr">
        <is>
          <t>PROD-013</t>
        </is>
      </c>
      <c r="C14" s="14" t="inlineStr">
        <is>
          <t>Gaming Headset</t>
        </is>
      </c>
      <c r="D14" s="14" t="inlineStr">
        <is>
          <t>Audio</t>
        </is>
      </c>
      <c r="E14" s="22" t="inlineStr">
        <is>
          <t>[Missing Supplier - Follow-up]</t>
        </is>
      </c>
      <c r="F14" s="13" t="inlineStr">
        <is>
          <t>2026-02-10</t>
        </is>
      </c>
      <c r="G14" s="15" t="n">
        <v>65</v>
      </c>
      <c r="H14" s="15" t="n">
        <v>60</v>
      </c>
      <c r="I14" s="15">
        <f>H14-G14</f>
        <v/>
      </c>
      <c r="J14" s="16" t="n">
        <v>2100</v>
      </c>
      <c r="K14" s="16">
        <f>ABS(I14)*J14</f>
        <v/>
      </c>
      <c r="L14" s="13" t="n">
        <v>15</v>
      </c>
      <c r="M14" s="21">
        <f>IF(H14&lt;=L14,"Low Stock",IF(I14&lt;&gt;0,"Discrepancy Flagged","Normal"))</f>
        <v/>
      </c>
      <c r="N14" s="14" t="inlineStr">
        <is>
          <t>Missing supplier flagged; date formatted; variance (-5)</t>
        </is>
      </c>
    </row>
    <row r="15">
      <c r="A15" s="17" t="inlineStr">
        <is>
          <t>INV-1015</t>
        </is>
      </c>
      <c r="B15" s="17" t="inlineStr">
        <is>
          <t>PROD-014</t>
        </is>
      </c>
      <c r="C15" s="18" t="inlineStr">
        <is>
          <t>Portable Power Bank</t>
        </is>
      </c>
      <c r="D15" s="18" t="inlineStr">
        <is>
          <t>Power</t>
        </is>
      </c>
      <c r="E15" s="18" t="inlineStr">
        <is>
          <t>VoltCorp</t>
        </is>
      </c>
      <c r="F15" s="17" t="inlineStr">
        <is>
          <t>2026-02-12</t>
        </is>
      </c>
      <c r="G15" s="19" t="n">
        <v>90</v>
      </c>
      <c r="H15" s="19" t="n">
        <v>88</v>
      </c>
      <c r="I15" s="19">
        <f>H15-G15</f>
        <v/>
      </c>
      <c r="J15" s="20" t="n">
        <v>1750</v>
      </c>
      <c r="K15" s="20">
        <f>ABS(I15)*J15</f>
        <v/>
      </c>
      <c r="L15" s="17" t="n">
        <v>20</v>
      </c>
      <c r="M15" s="21">
        <f>IF(H15&lt;=L15,"Low Stock",IF(I15&lt;&gt;0,"Discrepancy Flagged","Normal"))</f>
        <v/>
      </c>
      <c r="N15" s="18" t="inlineStr">
        <is>
          <t>Variance (-2) flagged</t>
        </is>
      </c>
    </row>
    <row r="16">
      <c r="A16" s="13" t="inlineStr">
        <is>
          <t>INV-1016</t>
        </is>
      </c>
      <c r="B16" s="13" t="inlineStr">
        <is>
          <t>PROD-015</t>
        </is>
      </c>
      <c r="C16" s="14" t="inlineStr">
        <is>
          <t>RGB Mousepad</t>
        </is>
      </c>
      <c r="D16" s="14" t="inlineStr">
        <is>
          <t>Peripherals</t>
        </is>
      </c>
      <c r="E16" s="14" t="inlineStr">
        <is>
          <t>TechGlobal Inc.</t>
        </is>
      </c>
      <c r="F16" s="13" t="inlineStr">
        <is>
          <t>2026-02-15</t>
        </is>
      </c>
      <c r="G16" s="15" t="n">
        <v>110</v>
      </c>
      <c r="H16" s="15" t="n">
        <v>110</v>
      </c>
      <c r="I16" s="15">
        <f>H16-G16</f>
        <v/>
      </c>
      <c r="J16" s="16" t="n">
        <v>550</v>
      </c>
      <c r="K16" s="16">
        <f>ABS(I16)*J16</f>
        <v/>
      </c>
      <c r="L16" s="13" t="n">
        <v>25</v>
      </c>
      <c r="M16" s="21">
        <f>IF(H16&lt;=L16,"Low Stock",IF(I16&lt;&gt;0,"Discrepancy Flagged","Normal"))</f>
        <v/>
      </c>
      <c r="N16" s="14" t="inlineStr">
        <is>
          <t>Standardized date format; counts match</t>
        </is>
      </c>
    </row>
    <row r="17">
      <c r="A17" s="17" t="inlineStr">
        <is>
          <t>INV-1017</t>
        </is>
      </c>
      <c r="B17" s="17" t="inlineStr">
        <is>
          <t>PROD-016</t>
        </is>
      </c>
      <c r="C17" s="18" t="inlineStr">
        <is>
          <t>NVMe M.2 2TB</t>
        </is>
      </c>
      <c r="D17" s="18" t="inlineStr">
        <is>
          <t>Storage</t>
        </is>
      </c>
      <c r="E17" s="18" t="inlineStr">
        <is>
          <t>Apex Electronics</t>
        </is>
      </c>
      <c r="F17" s="17" t="inlineStr">
        <is>
          <t>2026-02-18</t>
        </is>
      </c>
      <c r="G17" s="19" t="n">
        <v>25</v>
      </c>
      <c r="H17" s="19" t="n">
        <v>22</v>
      </c>
      <c r="I17" s="19">
        <f>H17-G17</f>
        <v/>
      </c>
      <c r="J17" s="20" t="n">
        <v>7800</v>
      </c>
      <c r="K17" s="20">
        <f>ABS(I17)*J17</f>
        <v/>
      </c>
      <c r="L17" s="17" t="n">
        <v>8</v>
      </c>
      <c r="M17" s="21">
        <f>IF(H17&lt;=L17,"Low Stock",IF(I17&lt;&gt;0,"Discrepancy Flagged","Normal"))</f>
        <v/>
      </c>
      <c r="N17" s="18" t="inlineStr">
        <is>
          <t>Variance (-3) flagged</t>
        </is>
      </c>
    </row>
    <row r="18">
      <c r="A18" s="13" t="inlineStr">
        <is>
          <t>INV-1018</t>
        </is>
      </c>
      <c r="B18" s="13" t="inlineStr">
        <is>
          <t>PROD-017</t>
        </is>
      </c>
      <c r="C18" s="14" t="inlineStr">
        <is>
          <t>Ethernet Switch 8-Port</t>
        </is>
      </c>
      <c r="D18" s="14" t="inlineStr">
        <is>
          <t>Networking</t>
        </is>
      </c>
      <c r="E18" s="14" t="inlineStr">
        <is>
          <t>NetGear Asia</t>
        </is>
      </c>
      <c r="F18" s="13" t="inlineStr">
        <is>
          <t>2026-02-20</t>
        </is>
      </c>
      <c r="G18" s="15" t="n">
        <v>35</v>
      </c>
      <c r="H18" s="15" t="n">
        <v>35</v>
      </c>
      <c r="I18" s="15">
        <f>H18-G18</f>
        <v/>
      </c>
      <c r="J18" s="16" t="n">
        <v>1400</v>
      </c>
      <c r="K18" s="16">
        <f>ABS(I18)*J18</f>
        <v/>
      </c>
      <c r="L18" s="13" t="n">
        <v>10</v>
      </c>
      <c r="M18" s="21">
        <f>IF(H18&lt;=L18,"Low Stock",IF(I18&lt;&gt;0,"Discrepancy Flagged","Normal"))</f>
        <v/>
      </c>
      <c r="N18" s="14" t="inlineStr">
        <is>
          <t>Counts match; verified</t>
        </is>
      </c>
    </row>
    <row r="19">
      <c r="A19" s="17" t="inlineStr">
        <is>
          <t>INV-1019</t>
        </is>
      </c>
      <c r="B19" s="17" t="inlineStr">
        <is>
          <t>PROD-018</t>
        </is>
      </c>
      <c r="C19" s="18" t="inlineStr">
        <is>
          <t>USB-C Multi Adapter</t>
        </is>
      </c>
      <c r="D19" s="18" t="inlineStr">
        <is>
          <t>Accessories</t>
        </is>
      </c>
      <c r="E19" s="18" t="inlineStr">
        <is>
          <t>DataLink Corp.</t>
        </is>
      </c>
      <c r="F19" s="17" t="inlineStr">
        <is>
          <t>2026-02-22</t>
        </is>
      </c>
      <c r="G19" s="19" t="n">
        <v>80</v>
      </c>
      <c r="H19" s="19" t="n">
        <v>76</v>
      </c>
      <c r="I19" s="19">
        <f>H19-G19</f>
        <v/>
      </c>
      <c r="J19" s="20" t="n">
        <v>1100</v>
      </c>
      <c r="K19" s="20">
        <f>ABS(I19)*J19</f>
        <v/>
      </c>
      <c r="L19" s="17" t="n">
        <v>20</v>
      </c>
      <c r="M19" s="21">
        <f>IF(H19&lt;=L19,"Low Stock",IF(I19&lt;&gt;0,"Discrepancy Flagged","Normal"))</f>
        <v/>
      </c>
      <c r="N19" s="18" t="inlineStr">
        <is>
          <t>Standardized date format; variance (-4) flagged</t>
        </is>
      </c>
    </row>
    <row r="20">
      <c r="A20" s="13" t="inlineStr">
        <is>
          <t>INV-1020</t>
        </is>
      </c>
      <c r="B20" s="13" t="inlineStr">
        <is>
          <t>PROD-019</t>
        </is>
      </c>
      <c r="C20" s="14" t="inlineStr">
        <is>
          <t>LED Desk Lamp</t>
        </is>
      </c>
      <c r="D20" s="14" t="inlineStr">
        <is>
          <t>Lighting</t>
        </is>
      </c>
      <c r="E20" s="14" t="inlineStr">
        <is>
          <t>BrightHome</t>
        </is>
      </c>
      <c r="F20" s="13" t="inlineStr">
        <is>
          <t>2026-02-25</t>
        </is>
      </c>
      <c r="G20" s="15" t="n">
        <v>55</v>
      </c>
      <c r="H20" s="15" t="n">
        <v>55</v>
      </c>
      <c r="I20" s="15">
        <f>H20-G20</f>
        <v/>
      </c>
      <c r="J20" s="16" t="n">
        <v>890</v>
      </c>
      <c r="K20" s="16">
        <f>ABS(I20)*J20</f>
        <v/>
      </c>
      <c r="L20" s="13" t="n">
        <v>12</v>
      </c>
      <c r="M20" s="21">
        <f>IF(H20&lt;=L20,"Low Stock",IF(I20&lt;&gt;0,"Discrepancy Flagged","Normal"))</f>
        <v/>
      </c>
      <c r="N20" s="14" t="inlineStr">
        <is>
          <t>Counts match; verified</t>
        </is>
      </c>
    </row>
    <row r="21">
      <c r="A21" s="17" t="inlineStr">
        <is>
          <t>INV-1021</t>
        </is>
      </c>
      <c r="B21" s="17" t="inlineStr">
        <is>
          <t>PROD-020</t>
        </is>
      </c>
      <c r="C21" s="18" t="inlineStr">
        <is>
          <t>Tablet Stand</t>
        </is>
      </c>
      <c r="D21" s="18" t="inlineStr">
        <is>
          <t>Accessories</t>
        </is>
      </c>
      <c r="E21" s="18" t="inlineStr">
        <is>
          <t>DataLink Corp.</t>
        </is>
      </c>
      <c r="F21" s="17" t="inlineStr">
        <is>
          <t>2026-02-28</t>
        </is>
      </c>
      <c r="G21" s="19" t="n">
        <v>70</v>
      </c>
      <c r="H21" s="19" t="n">
        <v>70</v>
      </c>
      <c r="I21" s="19">
        <f>H21-G21</f>
        <v/>
      </c>
      <c r="J21" s="20" t="n">
        <v>480</v>
      </c>
      <c r="K21" s="20">
        <f>ABS(I21)*J21</f>
        <v/>
      </c>
      <c r="L21" s="17" t="n">
        <v>15</v>
      </c>
      <c r="M21" s="21">
        <f>IF(H21&lt;=L21,"Low Stock",IF(I21&lt;&gt;0,"Discrepancy Flagged","Normal"))</f>
        <v/>
      </c>
      <c r="N21" s="18" t="inlineStr">
        <is>
          <t>Counts match; verified</t>
        </is>
      </c>
    </row>
    <row r="22">
      <c r="A22" s="13" t="inlineStr">
        <is>
          <t>INV-1022</t>
        </is>
      </c>
      <c r="B22" s="13" t="inlineStr">
        <is>
          <t>PROD-021</t>
        </is>
      </c>
      <c r="C22" s="14" t="inlineStr">
        <is>
          <t>Microphone Boom Arm</t>
        </is>
      </c>
      <c r="D22" s="14" t="inlineStr">
        <is>
          <t>Audio</t>
        </is>
      </c>
      <c r="E22" s="22" t="inlineStr">
        <is>
          <t>[Missing Supplier - Follow-up]</t>
        </is>
      </c>
      <c r="F22" s="13" t="inlineStr">
        <is>
          <t>2026-03-02</t>
        </is>
      </c>
      <c r="G22" s="15" t="n">
        <v>30</v>
      </c>
      <c r="H22" s="15" t="n">
        <v>28</v>
      </c>
      <c r="I22" s="15">
        <f>H22-G22</f>
        <v/>
      </c>
      <c r="J22" s="16" t="n">
        <v>1350</v>
      </c>
      <c r="K22" s="16">
        <f>ABS(I22)*J22</f>
        <v/>
      </c>
      <c r="L22" s="13" t="n">
        <v>8</v>
      </c>
      <c r="M22" s="21">
        <f>IF(H22&lt;=L22,"Low Stock",IF(I22&lt;&gt;0,"Discrepancy Flagged","Normal"))</f>
        <v/>
      </c>
      <c r="N22" s="14" t="inlineStr">
        <is>
          <t>Missing supplier flagged; date formatted; variance (-2)</t>
        </is>
      </c>
    </row>
    <row r="23">
      <c r="A23" s="17" t="inlineStr">
        <is>
          <t>INV-1023</t>
        </is>
      </c>
      <c r="B23" s="17" t="inlineStr">
        <is>
          <t>PROD-022</t>
        </is>
      </c>
      <c r="C23" s="18" t="inlineStr">
        <is>
          <t>Smart Plug Wi-Fi</t>
        </is>
      </c>
      <c r="D23" s="18" t="inlineStr">
        <is>
          <t>Smart Home</t>
        </is>
      </c>
      <c r="E23" s="18" t="inlineStr">
        <is>
          <t>HomeIoT</t>
        </is>
      </c>
      <c r="F23" s="17" t="inlineStr">
        <is>
          <t>2026-03-05</t>
        </is>
      </c>
      <c r="G23" s="19" t="n">
        <v>95</v>
      </c>
      <c r="H23" s="19" t="n">
        <v>95</v>
      </c>
      <c r="I23" s="19">
        <f>H23-G23</f>
        <v/>
      </c>
      <c r="J23" s="20" t="n">
        <v>620</v>
      </c>
      <c r="K23" s="20">
        <f>ABS(I23)*J23</f>
        <v/>
      </c>
      <c r="L23" s="17" t="n">
        <v>20</v>
      </c>
      <c r="M23" s="21">
        <f>IF(H23&lt;=L23,"Low Stock",IF(I23&lt;&gt;0,"Discrepancy Flagged","Normal"))</f>
        <v/>
      </c>
      <c r="N23" s="18" t="inlineStr">
        <is>
          <t>Counts match; verified</t>
        </is>
      </c>
    </row>
    <row r="24">
      <c r="A24" s="13" t="inlineStr">
        <is>
          <t>INV-1024</t>
        </is>
      </c>
      <c r="B24" s="13" t="inlineStr">
        <is>
          <t>PROD-023</t>
        </is>
      </c>
      <c r="C24" s="14" t="inlineStr">
        <is>
          <t>Security Camera 1080p</t>
        </is>
      </c>
      <c r="D24" s="14" t="inlineStr">
        <is>
          <t>Smart Home</t>
        </is>
      </c>
      <c r="E24" s="14" t="inlineStr">
        <is>
          <t>HomeIoT</t>
        </is>
      </c>
      <c r="F24" s="13" t="inlineStr">
        <is>
          <t>2026-03-08</t>
        </is>
      </c>
      <c r="G24" s="15" t="n">
        <v>40</v>
      </c>
      <c r="H24" s="15" t="n">
        <v>39</v>
      </c>
      <c r="I24" s="15">
        <f>H24-G24</f>
        <v/>
      </c>
      <c r="J24" s="16" t="n">
        <v>2400</v>
      </c>
      <c r="K24" s="16">
        <f>ABS(I24)*J24</f>
        <v/>
      </c>
      <c r="L24" s="13" t="n">
        <v>10</v>
      </c>
      <c r="M24" s="21">
        <f>IF(H24&lt;=L24,"Low Stock",IF(I24&lt;&gt;0,"Discrepancy Flagged","Normal"))</f>
        <v/>
      </c>
      <c r="N24" s="14" t="inlineStr">
        <is>
          <t>Variance (-1) flagged</t>
        </is>
      </c>
    </row>
    <row r="25">
      <c r="A25" s="17" t="inlineStr">
        <is>
          <t>INV-1026</t>
        </is>
      </c>
      <c r="B25" s="17" t="inlineStr">
        <is>
          <t>PROD-024</t>
        </is>
      </c>
      <c r="C25" s="18" t="inlineStr">
        <is>
          <t>Graphics Drawing Tablet</t>
        </is>
      </c>
      <c r="D25" s="18" t="inlineStr">
        <is>
          <t>Peripherals</t>
        </is>
      </c>
      <c r="E25" s="18" t="inlineStr">
        <is>
          <t>VisionTech</t>
        </is>
      </c>
      <c r="F25" s="17" t="inlineStr">
        <is>
          <t>2026-03-10</t>
        </is>
      </c>
      <c r="G25" s="19" t="n">
        <v>18</v>
      </c>
      <c r="H25" s="19" t="n">
        <v>16</v>
      </c>
      <c r="I25" s="19">
        <f>H25-G25</f>
        <v/>
      </c>
      <c r="J25" s="20" t="n">
        <v>4900</v>
      </c>
      <c r="K25" s="20">
        <f>ABS(I25)*J25</f>
        <v/>
      </c>
      <c r="L25" s="17" t="n">
        <v>5</v>
      </c>
      <c r="M25" s="21">
        <f>IF(H25&lt;=L25,"Low Stock",IF(I25&lt;&gt;0,"Discrepancy Flagged","Normal"))</f>
        <v/>
      </c>
      <c r="N25" s="18" t="inlineStr">
        <is>
          <t>Standardized date format; variance (-2) flagged</t>
        </is>
      </c>
    </row>
    <row r="26">
      <c r="A26" s="13" t="inlineStr">
        <is>
          <t>INV-1027</t>
        </is>
      </c>
      <c r="B26" s="13" t="inlineStr">
        <is>
          <t>PROD-025</t>
        </is>
      </c>
      <c r="C26" s="14" t="inlineStr">
        <is>
          <t>Bluetooth Earbuds</t>
        </is>
      </c>
      <c r="D26" s="14" t="inlineStr">
        <is>
          <t>Audio</t>
        </is>
      </c>
      <c r="E26" s="14" t="inlineStr">
        <is>
          <t>SoundWave Ph</t>
        </is>
      </c>
      <c r="F26" s="13" t="inlineStr">
        <is>
          <t>2026-03-12</t>
        </is>
      </c>
      <c r="G26" s="15" t="n">
        <v>130</v>
      </c>
      <c r="H26" s="15" t="n">
        <v>125</v>
      </c>
      <c r="I26" s="15">
        <f>H26-G26</f>
        <v/>
      </c>
      <c r="J26" s="16" t="n">
        <v>1600</v>
      </c>
      <c r="K26" s="16">
        <f>ABS(I26)*J26</f>
        <v/>
      </c>
      <c r="L26" s="13" t="n">
        <v>30</v>
      </c>
      <c r="M26" s="21">
        <f>IF(H26&lt;=L26,"Low Stock",IF(I26&lt;&gt;0,"Discrepancy Flagged","Normal"))</f>
        <v/>
      </c>
      <c r="N26" s="14" t="inlineStr">
        <is>
          <t>Variance (-5) flagged</t>
        </is>
      </c>
    </row>
    <row r="27">
      <c r="A27" s="17" t="inlineStr">
        <is>
          <t>INV-1028</t>
        </is>
      </c>
      <c r="B27" s="17" t="inlineStr">
        <is>
          <t>PROD-026</t>
        </is>
      </c>
      <c r="C27" s="18" t="inlineStr">
        <is>
          <t>Type-C Charging Cable</t>
        </is>
      </c>
      <c r="D27" s="18" t="inlineStr">
        <is>
          <t>Accessories</t>
        </is>
      </c>
      <c r="E27" s="18" t="inlineStr">
        <is>
          <t>DataLink Corp.</t>
        </is>
      </c>
      <c r="F27" s="17" t="inlineStr">
        <is>
          <t>2026-03-15</t>
        </is>
      </c>
      <c r="G27" s="19" t="n">
        <v>250</v>
      </c>
      <c r="H27" s="19" t="n">
        <v>245</v>
      </c>
      <c r="I27" s="19">
        <f>H27-G27</f>
        <v/>
      </c>
      <c r="J27" s="20" t="n">
        <v>180</v>
      </c>
      <c r="K27" s="20">
        <f>ABS(I27)*J27</f>
        <v/>
      </c>
      <c r="L27" s="17" t="n">
        <v>50</v>
      </c>
      <c r="M27" s="21">
        <f>IF(H27&lt;=L27,"Low Stock",IF(I27&lt;&gt;0,"Discrepancy Flagged","Normal"))</f>
        <v/>
      </c>
      <c r="N27" s="18" t="inlineStr">
        <is>
          <t>Variance (-5) flagged</t>
        </is>
      </c>
    </row>
    <row r="28">
      <c r="A28" s="13" t="inlineStr">
        <is>
          <t>INV-1029</t>
        </is>
      </c>
      <c r="B28" s="13" t="inlineStr">
        <is>
          <t>PROD-027</t>
        </is>
      </c>
      <c r="C28" s="14" t="inlineStr">
        <is>
          <t>Monitor Light Bar</t>
        </is>
      </c>
      <c r="D28" s="14" t="inlineStr">
        <is>
          <t>Accessories</t>
        </is>
      </c>
      <c r="E28" s="14" t="inlineStr">
        <is>
          <t>BrightHome</t>
        </is>
      </c>
      <c r="F28" s="13" t="inlineStr">
        <is>
          <t>2026-03-18</t>
        </is>
      </c>
      <c r="G28" s="15" t="n">
        <v>45</v>
      </c>
      <c r="H28" s="15" t="n">
        <v>45</v>
      </c>
      <c r="I28" s="15">
        <f>H28-G28</f>
        <v/>
      </c>
      <c r="J28" s="16" t="n">
        <v>1950</v>
      </c>
      <c r="K28" s="16">
        <f>ABS(I28)*J28</f>
        <v/>
      </c>
      <c r="L28" s="13" t="n">
        <v>10</v>
      </c>
      <c r="M28" s="21">
        <f>IF(H28&lt;=L28,"Low Stock",IF(I28&lt;&gt;0,"Discrepancy Flagged","Normal"))</f>
        <v/>
      </c>
      <c r="N28" s="14" t="inlineStr">
        <is>
          <t>Standardized date format; counts match</t>
        </is>
      </c>
    </row>
    <row r="29">
      <c r="A29" s="17" t="inlineStr">
        <is>
          <t>INV-1030</t>
        </is>
      </c>
      <c r="B29" s="17" t="inlineStr">
        <is>
          <t>PROD-028</t>
        </is>
      </c>
      <c r="C29" s="18" t="inlineStr">
        <is>
          <t>Wireless Numeric Keypad</t>
        </is>
      </c>
      <c r="D29" s="18" t="inlineStr">
        <is>
          <t>Peripherals</t>
        </is>
      </c>
      <c r="E29" s="18" t="inlineStr">
        <is>
          <t>TechGlobal Inc.</t>
        </is>
      </c>
      <c r="F29" s="17" t="inlineStr">
        <is>
          <t>2026-03-20</t>
        </is>
      </c>
      <c r="G29" s="19" t="n">
        <v>60</v>
      </c>
      <c r="H29" s="19" t="n">
        <v>60</v>
      </c>
      <c r="I29" s="19">
        <f>H29-G29</f>
        <v/>
      </c>
      <c r="J29" s="20" t="n">
        <v>750</v>
      </c>
      <c r="K29" s="20">
        <f>ABS(I29)*J29</f>
        <v/>
      </c>
      <c r="L29" s="17" t="n">
        <v>15</v>
      </c>
      <c r="M29" s="21">
        <f>IF(H29&lt;=L29,"Low Stock",IF(I29&lt;&gt;0,"Discrepancy Flagged","Normal"))</f>
        <v/>
      </c>
      <c r="N29" s="18" t="inlineStr">
        <is>
          <t>Counts match; verified</t>
        </is>
      </c>
    </row>
    <row r="30">
      <c r="A30" s="13" t="inlineStr">
        <is>
          <t>INV-1031</t>
        </is>
      </c>
      <c r="B30" s="13" t="inlineStr">
        <is>
          <t>PROD-029</t>
        </is>
      </c>
      <c r="C30" s="14" t="inlineStr">
        <is>
          <t>KVM Switch 2-Port</t>
        </is>
      </c>
      <c r="D30" s="14" t="inlineStr">
        <is>
          <t>Networking</t>
        </is>
      </c>
      <c r="E30" s="22" t="inlineStr">
        <is>
          <t>[Missing Supplier - Follow-up]</t>
        </is>
      </c>
      <c r="F30" s="13" t="inlineStr">
        <is>
          <t>2026-03-22</t>
        </is>
      </c>
      <c r="G30" s="15" t="n">
        <v>22</v>
      </c>
      <c r="H30" s="15" t="n">
        <v>21</v>
      </c>
      <c r="I30" s="15">
        <f>H30-G30</f>
        <v/>
      </c>
      <c r="J30" s="16" t="n">
        <v>2300</v>
      </c>
      <c r="K30" s="16">
        <f>ABS(I30)*J30</f>
        <v/>
      </c>
      <c r="L30" s="13" t="n">
        <v>6</v>
      </c>
      <c r="M30" s="21">
        <f>IF(H30&lt;=L30,"Low Stock",IF(I30&lt;&gt;0,"Discrepancy Flagged","Normal"))</f>
        <v/>
      </c>
      <c r="N30" s="14" t="inlineStr">
        <is>
          <t>Missing supplier flagged; variance (-1)</t>
        </is>
      </c>
    </row>
    <row r="31">
      <c r="A31" s="17" t="inlineStr">
        <is>
          <t>INV-1032</t>
        </is>
      </c>
      <c r="B31" s="17" t="inlineStr">
        <is>
          <t>PROD-030</t>
        </is>
      </c>
      <c r="C31" s="18" t="inlineStr">
        <is>
          <t>Laptop Privacy Screen</t>
        </is>
      </c>
      <c r="D31" s="18" t="inlineStr">
        <is>
          <t>Accessories</t>
        </is>
      </c>
      <c r="E31" s="18" t="inlineStr">
        <is>
          <t>DataLink Corp.</t>
        </is>
      </c>
      <c r="F31" s="17" t="inlineStr">
        <is>
          <t>2026-03-25</t>
        </is>
      </c>
      <c r="G31" s="19" t="n">
        <v>50</v>
      </c>
      <c r="H31" s="19" t="n">
        <v>50</v>
      </c>
      <c r="I31" s="19">
        <f>H31-G31</f>
        <v/>
      </c>
      <c r="J31" s="20" t="n">
        <v>1250</v>
      </c>
      <c r="K31" s="20">
        <f>ABS(I31)*J31</f>
        <v/>
      </c>
      <c r="L31" s="17" t="n">
        <v>12</v>
      </c>
      <c r="M31" s="21">
        <f>IF(H31&lt;=L31,"Low Stock",IF(I31&lt;&gt;0,"Discrepancy Flagged","Normal"))</f>
        <v/>
      </c>
      <c r="N31" s="18" t="inlineStr">
        <is>
          <t>Standardized date format; counts match</t>
        </is>
      </c>
    </row>
    <row r="32">
      <c r="A32" s="13" t="inlineStr">
        <is>
          <t>INV-1033</t>
        </is>
      </c>
      <c r="B32" s="13" t="inlineStr">
        <is>
          <t>PROD-031</t>
        </is>
      </c>
      <c r="C32" s="14" t="inlineStr">
        <is>
          <t>Vertical Ergonomic Mouse</t>
        </is>
      </c>
      <c r="D32" s="14" t="inlineStr">
        <is>
          <t>Peripherals</t>
        </is>
      </c>
      <c r="E32" s="14" t="inlineStr">
        <is>
          <t>TechGlobal Inc.</t>
        </is>
      </c>
      <c r="F32" s="13" t="inlineStr">
        <is>
          <t>2026-03-28</t>
        </is>
      </c>
      <c r="G32" s="15" t="n">
        <v>65</v>
      </c>
      <c r="H32" s="15" t="n">
        <v>62</v>
      </c>
      <c r="I32" s="15">
        <f>H32-G32</f>
        <v/>
      </c>
      <c r="J32" s="16" t="n">
        <v>1150</v>
      </c>
      <c r="K32" s="16">
        <f>ABS(I32)*J32</f>
        <v/>
      </c>
      <c r="L32" s="13" t="n">
        <v>15</v>
      </c>
      <c r="M32" s="21">
        <f>IF(H32&lt;=L32,"Low Stock",IF(I32&lt;&gt;0,"Discrepancy Flagged","Normal"))</f>
        <v/>
      </c>
      <c r="N32" s="14" t="inlineStr">
        <is>
          <t>Variance (-3) flagged</t>
        </is>
      </c>
    </row>
    <row r="33">
      <c r="A33" s="17" t="inlineStr">
        <is>
          <t>INV-1034</t>
        </is>
      </c>
      <c r="B33" s="17" t="inlineStr">
        <is>
          <t>PROD-032</t>
        </is>
      </c>
      <c r="C33" s="18" t="inlineStr">
        <is>
          <t>USB Hub 7-Port Powered</t>
        </is>
      </c>
      <c r="D33" s="18" t="inlineStr">
        <is>
          <t>Accessories</t>
        </is>
      </c>
      <c r="E33" s="18" t="inlineStr">
        <is>
          <t>DataLink Corp.</t>
        </is>
      </c>
      <c r="F33" s="17" t="inlineStr">
        <is>
          <t>2026-03-30</t>
        </is>
      </c>
      <c r="G33" s="19" t="n">
        <v>40</v>
      </c>
      <c r="H33" s="19" t="n">
        <v>40</v>
      </c>
      <c r="I33" s="19">
        <f>H33-G33</f>
        <v/>
      </c>
      <c r="J33" s="20" t="n">
        <v>1450</v>
      </c>
      <c r="K33" s="20">
        <f>ABS(I33)*J33</f>
        <v/>
      </c>
      <c r="L33" s="17" t="n">
        <v>10</v>
      </c>
      <c r="M33" s="21">
        <f>IF(H33&lt;=L33,"Low Stock",IF(I33&lt;&gt;0,"Discrepancy Flagged","Normal"))</f>
        <v/>
      </c>
      <c r="N33" s="18" t="inlineStr">
        <is>
          <t>Counts match; verified</t>
        </is>
      </c>
    </row>
    <row r="34">
      <c r="A34" s="13" t="inlineStr">
        <is>
          <t>INV-1035</t>
        </is>
      </c>
      <c r="B34" s="13" t="inlineStr">
        <is>
          <t>PROD-033</t>
        </is>
      </c>
      <c r="C34" s="14" t="inlineStr">
        <is>
          <t>Mechanical NumPad</t>
        </is>
      </c>
      <c r="D34" s="14" t="inlineStr">
        <is>
          <t>Peripherals</t>
        </is>
      </c>
      <c r="E34" s="14" t="inlineStr">
        <is>
          <t>TechGlobal Inc.</t>
        </is>
      </c>
      <c r="F34" s="13" t="inlineStr">
        <is>
          <t>2026-04-01</t>
        </is>
      </c>
      <c r="G34" s="15" t="n">
        <v>35</v>
      </c>
      <c r="H34" s="15" t="n">
        <v>33</v>
      </c>
      <c r="I34" s="15">
        <f>H34-G34</f>
        <v/>
      </c>
      <c r="J34" s="16" t="n">
        <v>980</v>
      </c>
      <c r="K34" s="16">
        <f>ABS(I34)*J34</f>
        <v/>
      </c>
      <c r="L34" s="13" t="n">
        <v>10</v>
      </c>
      <c r="M34" s="21">
        <f>IF(H34&lt;=L34,"Low Stock",IF(I34&lt;&gt;0,"Discrepancy Flagged","Normal"))</f>
        <v/>
      </c>
      <c r="N34" s="14" t="inlineStr">
        <is>
          <t>Standardized date format; variance (-2)</t>
        </is>
      </c>
    </row>
    <row r="35">
      <c r="A35" s="17" t="inlineStr">
        <is>
          <t>INV-1036</t>
        </is>
      </c>
      <c r="B35" s="17" t="inlineStr">
        <is>
          <t>PROD-034</t>
        </is>
      </c>
      <c r="C35" s="18" t="inlineStr">
        <is>
          <t>Desk Mat Extended</t>
        </is>
      </c>
      <c r="D35" s="18" t="inlineStr">
        <is>
          <t>Accessories</t>
        </is>
      </c>
      <c r="E35" s="18" t="inlineStr">
        <is>
          <t>BrightHome</t>
        </is>
      </c>
      <c r="F35" s="17" t="inlineStr">
        <is>
          <t>2026-04-03</t>
        </is>
      </c>
      <c r="G35" s="19" t="n">
        <v>110</v>
      </c>
      <c r="H35" s="19" t="n">
        <v>110</v>
      </c>
      <c r="I35" s="19">
        <f>H35-G35</f>
        <v/>
      </c>
      <c r="J35" s="20" t="n">
        <v>420</v>
      </c>
      <c r="K35" s="20">
        <f>ABS(I35)*J35</f>
        <v/>
      </c>
      <c r="L35" s="17" t="n">
        <v>25</v>
      </c>
      <c r="M35" s="21">
        <f>IF(H35&lt;=L35,"Low Stock",IF(I35&lt;&gt;0,"Discrepancy Flagged","Normal"))</f>
        <v/>
      </c>
      <c r="N35" s="18" t="inlineStr">
        <is>
          <t>Counts match; verified</t>
        </is>
      </c>
    </row>
    <row r="36">
      <c r="A36" s="13" t="inlineStr">
        <is>
          <t>INV-1037</t>
        </is>
      </c>
      <c r="B36" s="13" t="inlineStr">
        <is>
          <t>PROD-035</t>
        </is>
      </c>
      <c r="C36" s="14" t="inlineStr">
        <is>
          <t>Cable Management Box</t>
        </is>
      </c>
      <c r="D36" s="14" t="inlineStr">
        <is>
          <t>Accessories</t>
        </is>
      </c>
      <c r="E36" s="14" t="inlineStr">
        <is>
          <t>BrightHome</t>
        </is>
      </c>
      <c r="F36" s="13" t="inlineStr">
        <is>
          <t>2026-04-05</t>
        </is>
      </c>
      <c r="G36" s="15" t="n">
        <v>80</v>
      </c>
      <c r="H36" s="15" t="n">
        <v>78</v>
      </c>
      <c r="I36" s="15">
        <f>H36-G36</f>
        <v/>
      </c>
      <c r="J36" s="16" t="n">
        <v>350</v>
      </c>
      <c r="K36" s="16">
        <f>ABS(I36)*J36</f>
        <v/>
      </c>
      <c r="L36" s="13" t="n">
        <v>20</v>
      </c>
      <c r="M36" s="21">
        <f>IF(H36&lt;=L36,"Low Stock",IF(I36&lt;&gt;0,"Discrepancy Flagged","Normal"))</f>
        <v/>
      </c>
      <c r="N36" s="14" t="inlineStr">
        <is>
          <t>Variance (-2) flagged</t>
        </is>
      </c>
    </row>
    <row r="37">
      <c r="A37" s="17" t="inlineStr">
        <is>
          <t>INV-1039</t>
        </is>
      </c>
      <c r="B37" s="17" t="inlineStr">
        <is>
          <t>PROD-036</t>
        </is>
      </c>
      <c r="C37" s="18" t="inlineStr">
        <is>
          <t>Webcam Ring Light</t>
        </is>
      </c>
      <c r="D37" s="18" t="inlineStr">
        <is>
          <t>Peripherals</t>
        </is>
      </c>
      <c r="E37" s="18" t="inlineStr">
        <is>
          <t>VisionTech</t>
        </is>
      </c>
      <c r="F37" s="17" t="inlineStr">
        <is>
          <t>2026-04-08</t>
        </is>
      </c>
      <c r="G37" s="19" t="n">
        <v>75</v>
      </c>
      <c r="H37" s="19" t="n">
        <v>75</v>
      </c>
      <c r="I37" s="19">
        <f>H37-G37</f>
        <v/>
      </c>
      <c r="J37" s="20" t="n">
        <v>850</v>
      </c>
      <c r="K37" s="20">
        <f>ABS(I37)*J37</f>
        <v/>
      </c>
      <c r="L37" s="17" t="n">
        <v>15</v>
      </c>
      <c r="M37" s="21">
        <f>IF(H37&lt;=L37,"Low Stock",IF(I37&lt;&gt;0,"Discrepancy Flagged","Normal"))</f>
        <v/>
      </c>
      <c r="N37" s="18" t="inlineStr">
        <is>
          <t>Standardized date format; counts match</t>
        </is>
      </c>
    </row>
    <row r="38">
      <c r="A38" s="13" t="inlineStr">
        <is>
          <t>INV-1040</t>
        </is>
      </c>
      <c r="B38" s="13" t="inlineStr">
        <is>
          <t>PROD-037</t>
        </is>
      </c>
      <c r="C38" s="14" t="inlineStr">
        <is>
          <t>Mini PC Mount VESA</t>
        </is>
      </c>
      <c r="D38" s="14" t="inlineStr">
        <is>
          <t>Accessories</t>
        </is>
      </c>
      <c r="E38" s="14" t="inlineStr">
        <is>
          <t>DataLink Corp.</t>
        </is>
      </c>
      <c r="F38" s="13" t="inlineStr">
        <is>
          <t>2026-04-10</t>
        </is>
      </c>
      <c r="G38" s="15" t="n">
        <v>30</v>
      </c>
      <c r="H38" s="15" t="n">
        <v>30</v>
      </c>
      <c r="I38" s="15">
        <f>H38-G38</f>
        <v/>
      </c>
      <c r="J38" s="16" t="n">
        <v>680</v>
      </c>
      <c r="K38" s="16">
        <f>ABS(I38)*J38</f>
        <v/>
      </c>
      <c r="L38" s="13" t="n">
        <v>8</v>
      </c>
      <c r="M38" s="21">
        <f>IF(H38&lt;=L38,"Low Stock",IF(I38&lt;&gt;0,"Discrepancy Flagged","Normal"))</f>
        <v/>
      </c>
      <c r="N38" s="14" t="inlineStr">
        <is>
          <t>Counts match; verified</t>
        </is>
      </c>
    </row>
    <row r="39">
      <c r="A39" s="23" t="inlineStr">
        <is>
          <t>Total / Summary</t>
        </is>
      </c>
      <c r="B39" s="24" t="n"/>
      <c r="C39" s="24" t="n"/>
      <c r="D39" s="24" t="n"/>
      <c r="E39" s="24" t="n"/>
      <c r="F39" s="24" t="n"/>
      <c r="G39" s="25">
        <f>SUM(G2:G38)</f>
        <v/>
      </c>
      <c r="H39" s="25">
        <f>SUM(H2:H38)</f>
        <v/>
      </c>
      <c r="I39" s="25">
        <f>SUM(I2:I38)</f>
        <v/>
      </c>
      <c r="J39" s="24" t="n"/>
      <c r="K39" s="26">
        <f>SUM(K2:K38)</f>
        <v/>
      </c>
      <c r="L39" s="24" t="n"/>
      <c r="M39" s="24" t="n"/>
      <c r="N39" s="24"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12"/>
  <sheetViews>
    <sheetView showGridLines="1" workbookViewId="0">
      <pane ySplit="1" topLeftCell="A2" activePane="bottomLeft" state="frozen"/>
      <selection pane="bottomLeft" activeCell="A1" sqref="A1"/>
    </sheetView>
  </sheetViews>
  <sheetFormatPr baseColWidth="8" defaultRowHeight="15"/>
  <cols>
    <col width="23" customWidth="1" min="1" max="1"/>
    <col width="16" customWidth="1" min="2" max="2"/>
    <col width="30" customWidth="1" min="3" max="3"/>
    <col width="45" customWidth="1" min="4" max="4"/>
    <col width="59" customWidth="1" min="5" max="5"/>
    <col width="47" customWidth="1" min="6" max="6"/>
    <col width="59" customWidth="1" min="7" max="7"/>
  </cols>
  <sheetData>
    <row r="1">
      <c r="A1" s="4" t="inlineStr">
        <is>
          <t>Record ID</t>
        </is>
      </c>
      <c r="B1" s="4" t="inlineStr">
        <is>
          <t>Product ID</t>
        </is>
      </c>
      <c r="C1" s="4" t="inlineStr">
        <is>
          <t>Issue Type</t>
        </is>
      </c>
      <c r="D1" s="4" t="inlineStr">
        <is>
          <t>Original Value or Issue</t>
        </is>
      </c>
      <c r="E1" s="4" t="inlineStr">
        <is>
          <t>Verification Action</t>
        </is>
      </c>
      <c r="F1" s="4" t="inlineStr">
        <is>
          <t>Result or Resolution</t>
        </is>
      </c>
      <c r="G1" s="4" t="inlineStr">
        <is>
          <t>Follow-up Required</t>
        </is>
      </c>
    </row>
    <row r="2">
      <c r="A2" s="13" t="inlineStr">
        <is>
          <t>INV-1001 / INV-1011</t>
        </is>
      </c>
      <c r="B2" s="13" t="inlineStr">
        <is>
          <t>PROD-001</t>
        </is>
      </c>
      <c r="C2" s="22" t="inlineStr">
        <is>
          <t>Exact Duplicate Record</t>
        </is>
      </c>
      <c r="D2" s="14" t="inlineStr">
        <is>
          <t>Identical record entered twice (INV-1011)</t>
        </is>
      </c>
      <c r="E2" s="14" t="inlineStr">
        <is>
          <t>Cross-referenced Record IDs and timestamps</t>
        </is>
      </c>
      <c r="F2" s="14" t="inlineStr">
        <is>
          <t>Resolved (Merged/Removed INV-1011)</t>
        </is>
      </c>
      <c r="G2" s="14" t="inlineStr">
        <is>
          <t>None</t>
        </is>
      </c>
    </row>
    <row r="3">
      <c r="A3" s="17" t="inlineStr">
        <is>
          <t>INV-1003</t>
        </is>
      </c>
      <c r="B3" s="17" t="inlineStr">
        <is>
          <t>PROD-003</t>
        </is>
      </c>
      <c r="C3" s="18" t="inlineStr">
        <is>
          <t>Inconsistent Date Format</t>
        </is>
      </c>
      <c r="D3" s="18" t="inlineStr">
        <is>
          <t>01/15/2026</t>
        </is>
      </c>
      <c r="E3" s="18" t="inlineStr">
        <is>
          <t>Standardized date format to YYYY-MM-DD</t>
        </is>
      </c>
      <c r="F3" s="18" t="inlineStr">
        <is>
          <t>Resolved</t>
        </is>
      </c>
      <c r="G3" s="18" t="inlineStr">
        <is>
          <t>None</t>
        </is>
      </c>
    </row>
    <row r="4">
      <c r="A4" s="13" t="inlineStr">
        <is>
          <t>INV-1004</t>
        </is>
      </c>
      <c r="B4" s="13" t="inlineStr">
        <is>
          <t>PROD-004</t>
        </is>
      </c>
      <c r="C4" s="14" t="inlineStr">
        <is>
          <t>Formatting / Spacing</t>
        </is>
      </c>
      <c r="D4" s="14" t="inlineStr">
        <is>
          <t>prod-004 / 'USB-C Hub   '</t>
        </is>
      </c>
      <c r="E4" s="14" t="inlineStr">
        <is>
          <t>Fixed product ID casing and trimmed trailing spaces</t>
        </is>
      </c>
      <c r="F4" s="14" t="inlineStr">
        <is>
          <t>Resolved</t>
        </is>
      </c>
      <c r="G4" s="14" t="inlineStr">
        <is>
          <t>None</t>
        </is>
      </c>
    </row>
    <row r="5">
      <c r="A5" s="17" t="inlineStr">
        <is>
          <t>INV-1005 / INV-1025</t>
        </is>
      </c>
      <c r="B5" s="17" t="inlineStr">
        <is>
          <t>PROD-005</t>
        </is>
      </c>
      <c r="C5" s="22" t="inlineStr">
        <is>
          <t>Exact Duplicate Record</t>
        </is>
      </c>
      <c r="D5" s="18" t="inlineStr">
        <is>
          <t>Identical record entered twice (INV-1025)</t>
        </is>
      </c>
      <c r="E5" s="18" t="inlineStr">
        <is>
          <t>Cross-referenced Record IDs and timestamps</t>
        </is>
      </c>
      <c r="F5" s="18" t="inlineStr">
        <is>
          <t>Resolved (Merged/Removed INV-1025)</t>
        </is>
      </c>
      <c r="G5" s="18" t="inlineStr">
        <is>
          <t>None</t>
        </is>
      </c>
    </row>
    <row r="6">
      <c r="A6" s="13" t="inlineStr">
        <is>
          <t>INV-1006</t>
        </is>
      </c>
      <c r="B6" s="13" t="inlineStr">
        <is>
          <t>PROD-006</t>
        </is>
      </c>
      <c r="C6" s="22" t="inlineStr">
        <is>
          <t>Missing Information</t>
        </is>
      </c>
      <c r="D6" s="14" t="inlineStr">
        <is>
          <t>Blank supplier field</t>
        </is>
      </c>
      <c r="E6" s="14" t="inlineStr">
        <is>
          <t>Checked vendor master files; unverified</t>
        </is>
      </c>
      <c r="F6" s="14" t="inlineStr">
        <is>
          <t>Preserved blank; flagged as missing</t>
        </is>
      </c>
      <c r="G6" s="14" t="inlineStr">
        <is>
          <t>Contact procurement to verify primary supplier</t>
        </is>
      </c>
    </row>
    <row r="7">
      <c r="A7" s="17" t="inlineStr">
        <is>
          <t>INV-1007</t>
        </is>
      </c>
      <c r="B7" s="17" t="inlineStr">
        <is>
          <t>PROD-007</t>
        </is>
      </c>
      <c r="C7" s="22" t="inlineStr">
        <is>
          <t>Quantity Discrepancy</t>
        </is>
      </c>
      <c r="D7" s="18" t="inlineStr">
        <is>
          <t>System: 85, Physical: 80 (Variance: -5)</t>
        </is>
      </c>
      <c r="E7" s="18" t="inlineStr">
        <is>
          <t>Calculated variance and estimated discrepancy PHP value</t>
        </is>
      </c>
      <c r="F7" s="18" t="inlineStr">
        <is>
          <t>Flagged for warehouse investigation</t>
        </is>
      </c>
      <c r="G7" s="18" t="inlineStr">
        <is>
          <t>Investigate stock movement logs for unrecorded dispatch</t>
        </is>
      </c>
    </row>
    <row r="8">
      <c r="A8" s="13" t="inlineStr">
        <is>
          <t>INV-1014</t>
        </is>
      </c>
      <c r="B8" s="13" t="inlineStr">
        <is>
          <t>PROD-013</t>
        </is>
      </c>
      <c r="C8" s="22" t="inlineStr">
        <is>
          <t>Missing Info &amp; Date Issue</t>
        </is>
      </c>
      <c r="D8" s="14" t="inlineStr">
        <is>
          <t>Blank supplier / '2026.02-10'</t>
        </is>
      </c>
      <c r="E8" s="14" t="inlineStr">
        <is>
          <t>Standardized date; flagged blank supplier</t>
        </is>
      </c>
      <c r="F8" s="14" t="inlineStr">
        <is>
          <t>Preserved blank supplier; standardized date</t>
        </is>
      </c>
      <c r="G8" s="14" t="inlineStr">
        <is>
          <t>Contact procurement to verify supplier</t>
        </is>
      </c>
    </row>
    <row r="9">
      <c r="A9" s="17" t="inlineStr">
        <is>
          <t>INV-1022</t>
        </is>
      </c>
      <c r="B9" s="17" t="inlineStr">
        <is>
          <t>PROD-021</t>
        </is>
      </c>
      <c r="C9" s="22" t="inlineStr">
        <is>
          <t>Missing Information</t>
        </is>
      </c>
      <c r="D9" s="18" t="inlineStr">
        <is>
          <t>Blank supplier field</t>
        </is>
      </c>
      <c r="E9" s="18" t="inlineStr">
        <is>
          <t>Checked vendor master files; unverified</t>
        </is>
      </c>
      <c r="F9" s="18" t="inlineStr">
        <is>
          <t>Preserved blank; flagged as missing</t>
        </is>
      </c>
      <c r="G9" s="18" t="inlineStr">
        <is>
          <t>Contact procurement to verify primary supplier</t>
        </is>
      </c>
    </row>
    <row r="10">
      <c r="A10" s="13" t="inlineStr">
        <is>
          <t>INV-1025</t>
        </is>
      </c>
      <c r="B10" s="13" t="inlineStr">
        <is>
          <t>PROD-005</t>
        </is>
      </c>
      <c r="C10" s="22" t="inlineStr">
        <is>
          <t>Exact Duplicate Record</t>
        </is>
      </c>
      <c r="D10" s="14" t="inlineStr">
        <is>
          <t>Identical record entered twice (INV-1005)</t>
        </is>
      </c>
      <c r="E10" s="14" t="inlineStr">
        <is>
          <t>Cross-referenced Record IDs and timestamps</t>
        </is>
      </c>
      <c r="F10" s="14" t="inlineStr">
        <is>
          <t>Resolved (Merged/Removed INV-1005)</t>
        </is>
      </c>
      <c r="G10" s="14" t="inlineStr">
        <is>
          <t>None</t>
        </is>
      </c>
    </row>
    <row r="11">
      <c r="A11" s="17" t="inlineStr">
        <is>
          <t>INV-1031</t>
        </is>
      </c>
      <c r="B11" s="17" t="inlineStr">
        <is>
          <t>PROD-029</t>
        </is>
      </c>
      <c r="C11" s="22" t="inlineStr">
        <is>
          <t>Missing Info &amp; Discrepancy</t>
        </is>
      </c>
      <c r="D11" s="18" t="inlineStr">
        <is>
          <t>Blank supplier / System: 22, Physical: 21</t>
        </is>
      </c>
      <c r="E11" s="18" t="inlineStr">
        <is>
          <t>Flagged missing supplier and calculated variance (-1)</t>
        </is>
      </c>
      <c r="F11" s="18" t="inlineStr">
        <is>
          <t>Flagged for follow-up and investigation</t>
        </is>
      </c>
      <c r="G11" s="18" t="inlineStr">
        <is>
          <t>Contact procurement &amp; verify warehouse count</t>
        </is>
      </c>
    </row>
    <row r="12">
      <c r="A12" s="13" t="inlineStr">
        <is>
          <t>INV-1038</t>
        </is>
      </c>
      <c r="B12" s="13" t="inlineStr">
        <is>
          <t>PROD-003</t>
        </is>
      </c>
      <c r="C12" s="22" t="inlineStr">
        <is>
          <t>Exact Duplicate Record</t>
        </is>
      </c>
      <c r="D12" s="14" t="inlineStr">
        <is>
          <t>Identical record entered twice (INV-1003)</t>
        </is>
      </c>
      <c r="E12" s="14" t="inlineStr">
        <is>
          <t>Cross-referenced Record IDs and timestamps</t>
        </is>
      </c>
      <c r="F12" s="14" t="inlineStr">
        <is>
          <t>Resolved (Merged/Removed INV-1038)</t>
        </is>
      </c>
      <c r="G12" s="14" t="inlineStr">
        <is>
          <t>None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2026-10-13T16:14:45Z</dcterms:created>
  <dcterms:modified xmlns:dcterms="http://purl.org/dc/terms/" xmlns:xsi="http://www.w3.org/2001/XMLSchema-instance" xsi:type="dcterms:W3CDTF">2026-10-13T16:14:45Z</dcterms:modified>
</cp:coreProperties>
</file>